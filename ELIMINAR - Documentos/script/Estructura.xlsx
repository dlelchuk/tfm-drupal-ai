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danie\tfm-drupal-ai\Docs\script\"/>
    </mc:Choice>
  </mc:AlternateContent>
  <xr:revisionPtr revIDLastSave="0" documentId="13_ncr:1_{FC1EA65A-9F76-472D-BBD1-917085E8C938}" xr6:coauthVersionLast="47" xr6:coauthVersionMax="47" xr10:uidLastSave="{00000000-0000-0000-0000-000000000000}"/>
  <bookViews>
    <workbookView xWindow="-120" yWindow="-120" windowWidth="29040" windowHeight="15720" xr2:uid="{B635B165-3E88-4A3A-AECB-A739B677C7BD}"/>
  </bookViews>
  <sheets>
    <sheet name="Estructura" sheetId="1" r:id="rId1"/>
    <sheet name="Dat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23" i="1" l="1"/>
  <c r="I123" i="1"/>
  <c r="J123" i="1"/>
  <c r="K123"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B7" i="1" s="1"/>
  <c r="K6" i="1"/>
  <c r="K5" i="1"/>
  <c r="K4" i="1"/>
  <c r="K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B53" i="1" s="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B123" i="1" l="1"/>
  <c r="B8" i="1"/>
  <c r="B13" i="1"/>
  <c r="B121" i="1"/>
  <c r="B9" i="1"/>
  <c r="B64" i="1"/>
  <c r="B84" i="1"/>
  <c r="B104" i="1"/>
  <c r="B4" i="1"/>
  <c r="B60" i="1"/>
  <c r="B5" i="1"/>
  <c r="B25" i="1"/>
  <c r="B65" i="1"/>
  <c r="B85" i="1"/>
  <c r="B113" i="1"/>
  <c r="B21" i="1"/>
  <c r="B24" i="1"/>
  <c r="B80" i="1"/>
  <c r="B6" i="1"/>
  <c r="B86" i="1"/>
  <c r="B106" i="1"/>
  <c r="B87" i="1"/>
  <c r="B88" i="1"/>
  <c r="B20" i="1"/>
  <c r="B105" i="1"/>
  <c r="B3" i="1"/>
  <c r="B114" i="1"/>
  <c r="B14" i="1"/>
  <c r="B89" i="1"/>
  <c r="B10" i="1"/>
  <c r="B67" i="1"/>
  <c r="B66" i="1"/>
  <c r="B11" i="1"/>
  <c r="B110" i="1"/>
  <c r="B12" i="1"/>
  <c r="B63" i="1"/>
  <c r="B16" i="1"/>
  <c r="B18" i="1"/>
  <c r="B15" i="1"/>
  <c r="B17" i="1"/>
  <c r="B44" i="1"/>
  <c r="B103" i="1"/>
  <c r="B83" i="1"/>
  <c r="B43" i="1"/>
  <c r="B23" i="1"/>
  <c r="B19" i="1"/>
  <c r="B102" i="1"/>
  <c r="B62" i="1"/>
  <c r="B96" i="1"/>
  <c r="B115" i="1"/>
  <c r="B109" i="1"/>
  <c r="B108" i="1"/>
  <c r="B75" i="1"/>
  <c r="B107" i="1"/>
  <c r="B45" i="1"/>
  <c r="B79" i="1"/>
  <c r="B57" i="1"/>
  <c r="B101" i="1"/>
  <c r="B41" i="1"/>
  <c r="B100" i="1"/>
  <c r="B99" i="1"/>
  <c r="B58" i="1"/>
  <c r="B97" i="1"/>
  <c r="B77" i="1"/>
  <c r="B37" i="1"/>
  <c r="B116" i="1"/>
  <c r="B56" i="1"/>
  <c r="B36" i="1"/>
  <c r="B95" i="1"/>
  <c r="B55" i="1"/>
  <c r="B35" i="1"/>
  <c r="B94" i="1"/>
  <c r="B74" i="1"/>
  <c r="B54" i="1"/>
  <c r="B34" i="1"/>
  <c r="B93" i="1"/>
  <c r="B73" i="1"/>
  <c r="B33" i="1"/>
  <c r="B61" i="1"/>
  <c r="B59" i="1"/>
  <c r="B78" i="1"/>
  <c r="B72" i="1"/>
  <c r="B71" i="1"/>
  <c r="B91" i="1"/>
  <c r="B51" i="1"/>
  <c r="B70" i="1"/>
  <c r="B29" i="1"/>
  <c r="B28" i="1"/>
  <c r="B42" i="1"/>
  <c r="B81" i="1"/>
  <c r="B39" i="1"/>
  <c r="B98" i="1"/>
  <c r="B112" i="1"/>
  <c r="B82" i="1"/>
  <c r="B38" i="1"/>
  <c r="B52" i="1"/>
  <c r="B31" i="1"/>
  <c r="B30" i="1"/>
  <c r="B69" i="1"/>
  <c r="B48" i="1"/>
  <c r="B47" i="1"/>
  <c r="B46" i="1"/>
  <c r="B22" i="1"/>
  <c r="B118" i="1"/>
  <c r="B92" i="1"/>
  <c r="B32" i="1"/>
  <c r="B111" i="1"/>
  <c r="B50" i="1"/>
  <c r="B90" i="1"/>
  <c r="B49" i="1"/>
  <c r="B68" i="1"/>
  <c r="B27" i="1"/>
  <c r="B26" i="1"/>
  <c r="B117" i="1"/>
  <c r="B120" i="1"/>
  <c r="B40" i="1"/>
  <c r="B122" i="1"/>
  <c r="B119" i="1"/>
  <c r="B76" i="1"/>
</calcChain>
</file>

<file path=xl/sharedStrings.xml><?xml version="1.0" encoding="utf-8"?>
<sst xmlns="http://schemas.openxmlformats.org/spreadsheetml/2006/main" count="619" uniqueCount="299">
  <si>
    <t>id</t>
  </si>
  <si>
    <t>dimension</t>
  </si>
  <si>
    <t>subdimension</t>
  </si>
  <si>
    <t>categoria</t>
  </si>
  <si>
    <t>recomendacion</t>
  </si>
  <si>
    <t>ejemplo</t>
  </si>
  <si>
    <t>texto_embedding</t>
  </si>
  <si>
    <t>Didáctica inclusiva</t>
  </si>
  <si>
    <t>Objetivos y metas</t>
  </si>
  <si>
    <t>Evaluación formativa</t>
  </si>
  <si>
    <t>Metadatos</t>
  </si>
  <si>
    <t>Idioma</t>
  </si>
  <si>
    <t>Actualización</t>
  </si>
  <si>
    <t>Estructura</t>
  </si>
  <si>
    <t>Didáctica</t>
  </si>
  <si>
    <t>Participación</t>
  </si>
  <si>
    <t>Relevancia práctica</t>
  </si>
  <si>
    <t>Relevancia en la vida real</t>
  </si>
  <si>
    <t>Motivación</t>
  </si>
  <si>
    <t>Dimensión técnica y tecnológica</t>
  </si>
  <si>
    <t>Aprendizaje personalizado</t>
  </si>
  <si>
    <t>Adaptabilidad</t>
  </si>
  <si>
    <t>Seguridad</t>
  </si>
  <si>
    <t>Ayuda</t>
  </si>
  <si>
    <t>Usabilidad</t>
  </si>
  <si>
    <t>Licencias</t>
  </si>
  <si>
    <t>Elección de los metadatos</t>
  </si>
  <si>
    <t>Diseño</t>
  </si>
  <si>
    <t>Personalización</t>
  </si>
  <si>
    <t>Fuente</t>
  </si>
  <si>
    <t>Diseño y formato</t>
  </si>
  <si>
    <t>Uso de los REA</t>
  </si>
  <si>
    <t>Navegación</t>
  </si>
  <si>
    <t>Desarrollo de los REA</t>
  </si>
  <si>
    <t>Adaptación de los REA</t>
  </si>
  <si>
    <t>Sensibilidad hacia la diversidad</t>
  </si>
  <si>
    <t>Conciencia de género</t>
  </si>
  <si>
    <t>Sensibilidad cultural</t>
  </si>
  <si>
    <t>Nivel socioeconómico</t>
  </si>
  <si>
    <t>Accesibilidad</t>
  </si>
  <si>
    <t>Accesibilidad tecnológica</t>
  </si>
  <si>
    <t>Objetivos de aprendizaje para la enseñanza diferenciada</t>
  </si>
  <si>
    <t>Personalice, ajuste y adapte sus REA para obtener resultados de aprendizaje óptimos, que pueden no ser los mismos para todos. Asegúrese de que los objetivos y contenidos de un REA se basen en la edad y el nivel de competencia inicial de los estudiantes.</t>
  </si>
  <si>
    <t>Proporcione información sobre los objetivos y metas de aprendizaje en la portada del recurso. Asegúrese de que todos los objetivos de aprendizaje sean alcanzables, mensurables, relevantes, claramente enunciados y concisos para los estudiantes y otros docentes que utilicen sus REA.</t>
  </si>
  <si>
    <t>Determine objetivos de aprendizaje individualizados; haga que el contenido de los REA sea accesible según las diferentes necesidades de aprendizaje de los estudiantes con y sin discapacidades. Si un REA está diseñado para niños pequeños, debe tener contenido visual adaptado a ellos, como dibujos y textos más sencillos. Si el mismo REA está destinado a niños mayores, debe incluir menos contenido visual y más contenido para adultos, como fotografías. El texto puede requerir un nivel de lectura más alto.</t>
  </si>
  <si>
    <t>Al crear o utilizar REA, tenga en cuenta las necesidades de sus estudiantes (incluidos los estudiantes con discapacidades y necesidades educativas específicas, así como los estudiantes de alto rendimiento), especialmente en el diseño y la metodología de los REA. Considerar las necesidades de los estudiantes desde el principio puede evitar la realización de adaptaciones posteriores.</t>
  </si>
  <si>
    <t>Intente desarrollar una única versión accesible para todos los estudiantes, considerando su diversidad. De lo contrario, cree versiones diferenciadas adaptadas a sus necesidades.</t>
  </si>
  <si>
    <t>Incluya instrucciones para las actividades de aprendizaje y explique las metodologías.</t>
  </si>
  <si>
    <t>Indique para qué grupo objetivo de estudiantes se ha creado el recurso, así como los conocimientos previos necesarios.</t>
  </si>
  <si>
    <t>Tenga en cuenta el tiempo estimado necesario para completar el material (hojas de ejercicios o planes de lecciones) (y prepare material y actividades adicionales para los estudiantes más rápidos).</t>
  </si>
  <si>
    <t>Asegúrese de que los ejercicios y actividades estén respaldados por claves de respuestas o pautas de puntuación.</t>
  </si>
  <si>
    <t>Asegúrese de que el lenguaje sea claro, coherente, conciso y fácilmente comprensible para otros docentes y profesionales del ámbito educativo.</t>
  </si>
  <si>
    <t>Asegúrese de que el contenido sea actual, actualizado o atemporal. Si es necesario, actualícelo.</t>
  </si>
  <si>
    <t>Asegúrese de que los REA proporcionen una estructura sólida para el desarrollo de conocimientos y habilidades. Por lo tanto, el contenido debe estructurarse en secuencias lógicas y manejables de módulos o lecciones/secciones.</t>
  </si>
  <si>
    <t>Vincule el contenido nuevo con los conocimientos, habilidades y experiencias previas de los estudiantes.</t>
  </si>
  <si>
    <t>Debe asegurar que los REA posibiliten la transferencia de nuevos conocimientos y habilidades a diferentes tareas, problemas o contextos para consolidar su aprendizaje o construir significado personal.</t>
  </si>
  <si>
    <t>Asocie los constructos y contenidos teóricos con ejemplos cercanos a la vida de los estudiantes para que puedan ser transferidos a situaciones cotidianas.</t>
  </si>
  <si>
    <t>Realice ejercicios con un propósito familiar, como ir de compras, que requieran cálculos matemáticos. Especialmente para estudiantes con dificultades de aprendizaje.</t>
  </si>
  <si>
    <t>Si mejora la comprensión del contenido por parte de los estudiantes, presente el contenido del REA en varios formatos (textos, gráficos, imágenes, etc.).</t>
  </si>
  <si>
    <t>Si fuera posible, muestre un video, analice el contenido y proporcione actividades prácticas.</t>
  </si>
  <si>
    <t>Personalice los REA según el entorno de vida de sus estudiantes.</t>
  </si>
  <si>
    <t>Si un REA incluye una lectura sobre agricultura que menciona cultivos como el trigo o el maíz, pero sus estudiantes viven en una región donde predominan los olivos y los viñedos, podría modificar el recurso para incluir ejemplos de estos cultivos locales. Esto hace que el contenido sea más significativo y aplicable a su realidad.</t>
  </si>
  <si>
    <t>Asegúrese de que las actividades de aprendizaje brinden oportunidades de interacción que respalden el aprendizaje activo.</t>
  </si>
  <si>
    <t>En una actividad de Piensa-En pareja-Comparte, los estudiantes reflexionan sobre una pregunta, la discuten con un compañero y la comparten con la clase. Esto promueve la interacción, el pensamiento crítico y el aprendizaje activo.</t>
  </si>
  <si>
    <t>Cuando sea posible, cree o adapte los REA para promover el trabajo colaborativo.</t>
  </si>
  <si>
    <t>Asegúrese de que los REA faciliten la participación de todos los estudiantes, de acuerdo con sus capacidades y habilidades, creando oportunidades de aprendizaje para todos.</t>
  </si>
  <si>
    <t>Al planificar actividades de grupo, considere cómo la composición del grupo (más heterogénea o más homogénea) puede permitir el mejor resultado de aprendizaje posible para todos los estudiantes, teniendo en cuenta las competencias académicas y sociales de todos los estudiantes.</t>
  </si>
  <si>
    <t>Cree o utilice REA que también apoyen la adquisición de habilidades blandas, como la cooperación, la toma de decisiones, la resolución de problemas, el pensamiento crítico, el respeto, la comunicación no violenta, el manejo de las emociones y el estrés.</t>
  </si>
  <si>
    <t>Desarrolle un REA para enseñar a gestionar el estrés o a hablar en público.</t>
  </si>
  <si>
    <t>Cuando sea posible, cree o utilice REA que promuevan estilos de vida saludables, como la nutrición, la salud mental y la higiene del sueño.</t>
  </si>
  <si>
    <t>Asegúrese de que el REA sea atractivo, interesante y llamativo, ya que puede tener un impacto positivo en la motivación de los estudiantes.</t>
  </si>
  <si>
    <t>Asegúrese de que los REA capten y mantengan la atención y el interés de los estudiantes.</t>
  </si>
  <si>
    <t>Utilice el humor (si es apropiado), utilice ejemplos de la vida diaria de los estudiantes, permita el aprendizaje lúdico, incluya los pasatiempos e intereses de los estudiantes, etc.</t>
  </si>
  <si>
    <t>Incluya observación formativa y evaluación sumativa para asegurarse de poder seguir el proceso de aprendizaje de los estudiantes.</t>
  </si>
  <si>
    <t>Los estudiantes ven un video sobre el ciclo del agua. El profesor observa las discusiones (formativas) y asigna un breve cuestionario (sumativo) para comprobar la comprensión.</t>
  </si>
  <si>
    <t>Valora si las herramientas tecnológicas empleadas en el REA facilitan la consecución de los objetivos de aprendizaje marcados.</t>
  </si>
  <si>
    <t>Asegúrate de que las herramientas tecnológicas y recursos empleados en los REA fomentan la participación del alumnado y el aprendizaje activo.</t>
  </si>
  <si>
    <t xml:space="preserve">Usa foros, herramientas de aprendizaje colaborativo, herramientas de autoevaluación, etc. </t>
  </si>
  <si>
    <t xml:space="preserve">Comprueba que todo el alumnado tenga acceso a los medios tecnológicos requeridos para consultar el REA. </t>
  </si>
  <si>
    <t xml:space="preserve">Cerciórate de que los alumnos disponen de ordenador, acceso a internet o una impresora. </t>
  </si>
  <si>
    <t>Garantiza que los estudiantes con necesidades especiales también tengan acceso a los medios tecnológicos requeridos para usar el REA.</t>
  </si>
  <si>
    <t xml:space="preserve">Comprueba que el alumnado con discapacidad visual cuenta con un lector de pantalla o proporciona un ratón ergonómico para estudiantes con movilidad reducida. </t>
  </si>
  <si>
    <t xml:space="preserve">Facilita el REA en un formato editable (p. ej.: Word), en un archivo de texto plano o proporciona el código fuente para que pueda ser modificado.  </t>
  </si>
  <si>
    <t>Diseña REA que se puedan utilizar en diferentes contextos educativos: en clase, en ordenadores o en otros dispositivos (como tabletas o pizarras electrónicas), sistemas de e-learning, etc. Asegúrate de que el REA pueda ser modificado, actualizado o adaptado en función de los intereses y necesidades del alumnado.</t>
  </si>
  <si>
    <t>Desarrolla el REA teniendo en cuenta todas las medidas posibles para garantizar la seguridad, la integridad y validez de la información.</t>
  </si>
  <si>
    <t>Utiliza protección por contraseña, encriptación, plataformas seguras, sistemas de gestión del aprendizaje, etc.</t>
  </si>
  <si>
    <t>Garantiza la disponibilidad de enlaces o explicaciones sobre asistencia técnica en el REA.</t>
  </si>
  <si>
    <t>Ofrece sugerencias de solución a posibles problemas técnicos o enlaces a asistencia técnica.</t>
  </si>
  <si>
    <t>Comprueba la disponibilidad de funciones de ayuda que identifiquen los problemas más comunes de los usuarios y sus soluciones.</t>
  </si>
  <si>
    <t>Asegúrate de que la interfaz de usuario disponga de mecanismos (p. ej., preguntas frecuentes o documentación de ayuda) para que los usuarios puedan solucionar los problemas que surjan en el uso del REA. Además, la ayuda debe ser fácil de localizar, especificar los pasos necesarios para resolver el problema y no ser muy extensa.</t>
  </si>
  <si>
    <t>Garantiza que el diseño visual de la interfaz de usuario sea claro y coherente para facilitar el aprendizaje. Evita el ruido visual y la sobrecarga de información.</t>
  </si>
  <si>
    <t>Asegúrate de que el diseño del REA sea intuitivo.</t>
  </si>
  <si>
    <t>Parte de un diseño visual al que los usuarios estén habituados. Por ejemplo, utiliza iconos o imágenes de función inequívoca (p. ej.: una papelera como icono de eliminación).</t>
  </si>
  <si>
    <t>Emplea títulos breves, una fuente legible, justificación a la izquierda, colores equilibrados, etc. Evita elementos de distracción como colores irrelevantes o figuras e iconos con una función meramente ornamental.</t>
  </si>
  <si>
    <t>Comprueba que el usuario pueda personalizar la interfaz (p. ej., cambiar el color de fondo o aumentar el contraste) para mejorar la legibilidad y la usabilidad del REA.</t>
  </si>
  <si>
    <t>Revisa que las fuentes empleadas sean legibles y visualmente atractivas o facilita que el usuario cambie el tipo de fuente, el color y el tamaño.</t>
  </si>
  <si>
    <t xml:space="preserve">Verifica que el diseño de la interfaz refleje la información correctamente jerarquizada. </t>
  </si>
  <si>
    <t>Diseña los elementos de la interfaz (títulos, botones, enlaces, menús, etc.) de manera que sea comprensible y de fácil navegación.</t>
  </si>
  <si>
    <t>Escoge colores oscuros para el texto y colores claros para el fondo. Puedes verificar que el contraste de colores sea el adecuado con herramientas como Color Contrast Analyzer.</t>
  </si>
  <si>
    <t>Usa Times New Roman, Georgia, Arial, Calibri, Verdana o Tahoma. Si bien el tamaño mínimo es 10, se recomienda aumentarlo a 12 o 14 para estudiantes con discapacidad visual o dificultades de lectoescritura.</t>
  </si>
  <si>
    <t>Comprueba que la navegación es previsible y eficaz.</t>
  </si>
  <si>
    <t>Elige nombres descriptivos para los elementos de navegación y emplea un diseño visual que los diferencie claramente de los demás elementos de la interfaz.</t>
  </si>
  <si>
    <t xml:space="preserve">Asegúrate de que la navegación sigue un orden lógico. </t>
  </si>
  <si>
    <t>Ordena de forma lógica los elementos de navegación (enlaces, barras de navegación, menús, etc.) y verifica que se mantengan siempre en la misma ubicación. Por ejemplo, las barras de navegación se pueden colocar en la parte superior o inferior de la pantalla. Respeta el número de elementos recomendados en un menú de navegación: entre 6 y 8.</t>
  </si>
  <si>
    <t>Integra los sistemas de orientación de la navegación en el REA para que los usuarios sepan dónde se encuentran en cada momento.</t>
  </si>
  <si>
    <t>Incluye en la interfaz rastro de migas de pan, barras de progreso, itinerarios didácticos, mapas del sitio web, etc.</t>
  </si>
  <si>
    <t xml:space="preserve">Constata que las acciones de navegación se pueden deshacer. </t>
  </si>
  <si>
    <t>Facilita que los usuarios puedan volver a la página anterior o regresar a la página de inicio desde cualquier página.</t>
  </si>
  <si>
    <t>Asegúrate de que el REA se proporciona bajo una licencia abierta, de uso libre o de código abierto. Indica de manera clara la licencia seleccionada para el REA, de modo que se definan sus condiciones de uso.</t>
  </si>
  <si>
    <t>Busca la declaración de licencia: verifica si hay una declaración de licencia en el material. Puede estar al principio, al final o en los metadatos de los archivos digitales.
Identifica los símbolos o logotipos de las licencias: localiza los logotipos de Creative Commons (p. ej., CC BY, CC BY-SA) o expresiones como "con una licencia...", seguidas del tipo de licencia.
Revisa los metadatos: comprueba los metadatos en los recursos en línea (p. ej., las pestañas de "propiedades" o "información" del archivo) para obtener información sobre la licencia. Algunos sitios web también especifican las licencias en su menú inferior o en las secciones de descarga o de política de privacidad.</t>
  </si>
  <si>
    <t>Asegúrate de que todos los elementos creados o incluidos en el REA (textos, vídeos, archivos de audio u otros materiales) cumplen con los requisitos de la licencia del REA o con los establecidos por otras licencias similares o compatibles, como las Creative Commons.</t>
  </si>
  <si>
    <t xml:space="preserve">Comprueba que todos los recursos y materiales empleados en tu REA están correctamente citados y referenciados. </t>
  </si>
  <si>
    <t xml:space="preserve">No uses materiales ajenos sin la debida autorización o permiso y evita el plagio. </t>
  </si>
  <si>
    <t xml:space="preserve">Reconoce la autoría o especifica la licencia de los textos, imágenes, vídeos u otros elementos que hayas empleado en tu REA. </t>
  </si>
  <si>
    <t>Reconoce la autoría de imágenes, ilustraciones, vídeos u otros elementos multimedia. Incluye la autoría y la licencia en el pie.</t>
  </si>
  <si>
    <t>Consulta este ejemplo: “Recyclingkreislauf” de Jessica Berger, con una licencia CC-BY 4.0 International. Publicado en Flickr.</t>
  </si>
  <si>
    <t>“[Título de la ilustración]” de [nombre del creador o creadora], con licencia [nombre de la licencia]. Recuperado de [nombre del sitio web].</t>
  </si>
  <si>
    <t xml:space="preserve">Asigna la licencia. Sigue estos pasos:
— indica la licencia en tu recurso:
“[nombre del REA]” de [tu nombre], con una licencia [tipo de licencia]. Publicado en [enlace al sitio web]. 
— descarga el logotipo de la licencia desde el sitio web enlazado y colócalo en la primera página o en el pie de página de tu REA. </t>
  </si>
  <si>
    <t xml:space="preserve">Incluye los metadatos más relevantes para que tu REA sea fácilmente localizable. </t>
  </si>
  <si>
    <t>Aporta información clara y precisa para facilitar la localización de tu REA. Puedes añadir los siguientes datos:
1.	Información básica (título, autor o autora, descripción, idioma, fecha de creación)
2.	Información didáctica (asignatura, nivel educativo, objetivos de aprendizaje)
3.	Licencia
4.	Información técnica (formato del archivo y tamaño)
5.	Palabras clave/etiquetas
6.	Información de uso (características de accesibilidad)</t>
  </si>
  <si>
    <t>Asegúrate de que existen mecanismos para que los usuarios suban una versión revisada o adaptada de tu REA.</t>
  </si>
  <si>
    <t xml:space="preserve">Posibilita que otros usuarios suban revisiones o adaptaciones de tu REA. Por ejemplo, puedes usar la herramienta eXeLearning. </t>
  </si>
  <si>
    <t>Siempre que sea posible, los materiales deben reflejar la diversidad del alumnado en el aula. Ofrezca variedad en las ilustraciones de personajes, estilos de vida, lenguaje, etc.</t>
  </si>
  <si>
    <t xml:space="preserve">Por ejemplo, un cómic puede incluir superhéroes con diferentes rasgos físicos y orígenes culturales diversos. </t>
  </si>
  <si>
    <t>Garantice que no haya predominio de un solo género en las representaciones visuales.</t>
  </si>
  <si>
    <t>En una imagen de un grupo de 4 estudiantes, puede haber 2 chicas y 2 chicos. No siempre deben aparecer los chicos en el centro o delante de la foto, ni las chicas detrás o a los lados; varíe las imágenes que presente. Si no encuentra una imagen con licencia abierta que cumpla este criterio, utilice herramientas de inteligencia artificial.</t>
  </si>
  <si>
    <t>Evite los estereotipos de género en los textos o imágenes al representar actividades profesionales o roles sociales.</t>
  </si>
  <si>
    <t>Evite mostrar siempre hombres como médicos y mujeres como enfermeras, o madres en casa y padres trabajando.</t>
  </si>
  <si>
    <t>Asegúrese de no utilizar lenguaje ni imágenes sexistas en cuanto a la ropa mostrada, accesorios, actitudes, aficiones, etc.</t>
  </si>
  <si>
    <t>Las chicas en una fotografía pueden aparecer tanto con falda como con pantalón, con el pelo corto o largo. Evite los estereotipos, por ejemplo, que los chicos siempre jueguen al fútbol y las chicas siempre vistan de rosa.</t>
  </si>
  <si>
    <t>Evite el uso de generalizaciones masculinas y términos masculinos singulares para referirse a personas de diferentes géneros. Utilice sustantivos que no sean específicos de género.</t>
  </si>
  <si>
    <t>En lugar de decir “Cada alumno debe hacer sus deberes”, diga “Cada estudiante debe hacer sus deberes” o “Todos los estudiantes deben hacer sus deberes”. Use “oficial” en lugar de “policía” o “mujer policía”.</t>
  </si>
  <si>
    <t>Garantice que las contribuciones realizadas en los distintos campos del conocimiento (por ejemplo, arte o biología) por mujeres y hombres sean igualmente visibles.</t>
  </si>
  <si>
    <t>Ofrezca actividades y ejemplos que promuevan el análisis crítico de las desigualdades de género. Debata y analice los roles de género en distintos contextos, como las responsabilidades domésticas, las profesiones o la representación en los medios.</t>
  </si>
  <si>
    <t>Por ejemplo, los estudiantes pueden analizar por qué ciertas tareas, como cocinar o cuidar, suelen asociarse a las mujeres, mientras que otras, como las reparaciones domésticas o la gestión económica, se vinculan a los hombres. Anímeles a cuestionar estos estereotipos, compartir experiencias personales y proponer formas de redefinir los roles tradicionales.</t>
  </si>
  <si>
    <t>Asegúrese de que haya variedad en la representación visual de las personas (por ejemplo, diferentes características físicas), de modo que todos los estudiantes se sientan representados.</t>
  </si>
  <si>
    <t>Si en su clase hay personas de diferentes razas, incluya representaciones gráficas diversas.</t>
  </si>
  <si>
    <t>Utilice ejemplos en los textos o en otros medios que procedan de distintas culturas y tradiciones.</t>
  </si>
  <si>
    <t>Por ejemplo, mencione la música tradicional o la preparación de comidas típicas en Navidad o durante el Ramadán.</t>
  </si>
  <si>
    <t>Ofrezca oportunidades intencionadas para conocer diferentes culturas.</t>
  </si>
  <si>
    <t>Incluya actividades sobre tradiciones de otros países que se celebren en fechas similares; por ejemplo, la Cuaresma cristiana y el Ramadán musulmán.</t>
  </si>
  <si>
    <t>Garantice que los contenidos sean lo más objetivos posible y respetuosos, libres de sesgos ideológicos.</t>
  </si>
  <si>
    <t>En las clases de historia, asegúrese de incluir textos que muestren los puntos de vista de las distintas poblaciones involucradas.</t>
  </si>
  <si>
    <t>Asegúrese de que las contribuciones realizadas en los diferentes campos del conocimiento por personas de distintas culturas sean igualmente visibles.</t>
  </si>
  <si>
    <t>Cuando sea apropiado, mencione a personas de diferentes etnias relacionadas con un tema (por ejemplo, ganadores del Premio Nobel de la Paz).</t>
  </si>
  <si>
    <t>Asegúrese de que los contenidos, los elementos visuales y las estrategias didácticas sean culturalmente sensibles, teniendo en cuenta las diferencias étnicas, religiosas y culturales de los estudiantes.</t>
  </si>
  <si>
    <t>Garantice que el lenguaje del REA sea accesible para todos los estudiantes, teniendo en cuenta su lengua familiar, su dominio del idioma de enseñanza o el multilingüismo.</t>
  </si>
  <si>
    <t>Si tiene estudiantes que hablan español y árabe, traduzca el REA a ambos idiomas, adapte el nivel de dificultad del lenguaje o añada una herramienta de traducción automática (por ejemplo, Microsoft Immersive Reader o Google Translate).</t>
  </si>
  <si>
    <t>Destaque historias de personas que alcanzan el éxito o la felicidad por diversos medios, no solo por su estatus socioeconómico. Promueva conversaciones sobre la conciencia del privilegio.</t>
  </si>
  <si>
    <t>Utilice imágenes o ilustraciones que no impliquen únicamente riqueza o privilegio (por ejemplo, casas de lujo o marcas caras). En su lugar, elija imágenes que reflejen entornos diversos y cotidianos (por ejemplo, parques públicos, espacios compartidos o entornos comunitarios).</t>
  </si>
  <si>
    <t>Al referirse a productos en los materiales, evite mencionar marcas de lujo o artículos costosos.</t>
  </si>
  <si>
    <t>Ejemplo a evitar: “Juan compró unas zapatillas de la marca X por 120 €”. Alternativa: “Juan compró unas zapatillas por 120 €”.</t>
  </si>
  <si>
    <t>Texto</t>
  </si>
  <si>
    <t>Imágenes, tablas y gráficos</t>
  </si>
  <si>
    <t>Audio</t>
  </si>
  <si>
    <t>Vídeo</t>
  </si>
  <si>
    <t>Sitios web y apps</t>
  </si>
  <si>
    <t>Juegos educativos</t>
  </si>
  <si>
    <t>Para los estudiantes que lo necesiten, proporcione diferentes versiones del documento, ajustando los espacios entre letras, palabras y líneas.</t>
  </si>
  <si>
    <t>Proporcione una forma de identificar definiciones específicas de palabras, frases o abreviaturas que son nuevas para los estudiantes o que se utilizan de manera inusual (por ejemplo, modismos y jerga).</t>
  </si>
  <si>
    <t>Si es necesario, agregue una sección con un diccionario de términos o incluya la definición de una palabra cerca de ella (en la misma línea, debajo de ella, entre paréntesis o como una ventana emergente) la primera vez que aparezca.</t>
  </si>
  <si>
    <t>Tenga en cuenta que la estructura, como el orden de lectura y los elementos interactivos, puedan reconocerse y mostrarse claramente mediante tecnologías de asistencia.</t>
  </si>
  <si>
    <t>Las etiquetas de cada casilla de verificación deben ser identificables mediante tecnología de asistencia, por ejemplo, un lector de pantalla.</t>
  </si>
  <si>
    <t>Asegúrese de que la información se transmita de múltiples maneras, como mediante etiquetas de texto, patrones, señales auditivas, colores, forma, tamaño, ubicación visual u orientación.</t>
  </si>
  <si>
    <t>En lugar de utilizar únicamente el color rojo para indicar que ciertos campos de un formulario son obligatorios, utilice también un asterisco para marcarlos.</t>
  </si>
  <si>
    <t>Puede aumentar el espacio entre letras, por ejemplo, en Word, haciendo clic en "Fuente", "Avanzado" y luego en "Espaciado". Aquí encontrará más información . También puede usar el lector inmersivo.</t>
  </si>
  <si>
    <t>Asegúrese de que el contenido sea fácilmente legible tanto en orientación horizontal como vertical, a menos que una orientación específica sea esencial.</t>
  </si>
  <si>
    <t>Mantenga la coherencia entre los iconos y el texto con el mismo propósito en todo el REA.</t>
  </si>
  <si>
    <t>Al crear una lista, utilice la función correspondiente.</t>
  </si>
  <si>
    <t>Utilice la función de lista en lugar de agregar símbolos o caracteres, ya que los lectores de pantalla, por ejemplo, podrían no reconocerla como una lista.</t>
  </si>
  <si>
    <t>Asegúrese de que el texto se pueda redimensionar sin tecnología de asistencia hasta en un 200 por ciento, sin pérdida de contenido ni funcionalidad.</t>
  </si>
  <si>
    <t>Por ejemplo, el texto se puede ampliar utilizando Control+ en el navegador o cambiando su tamaño en la configuración del dispositivo utilizado para ejecutar la aplicación.</t>
  </si>
  <si>
    <t>Para garantizar que la tecnología de asistencia pueda identificar el idioma del contenido, indique el idioma al principio y cuando cambie, para que el lector de pantalla pueda leerlo correctamente.</t>
  </si>
  <si>
    <t>Use imágenes claras, fáciles de entender y con una calidad, tamaño, resolución y brillo adecuados. Evite las imágenes borrosas.</t>
  </si>
  <si>
    <t>Si el texto explica el ciclo del agua, incluya un diagrama claro que muestre la evaporación, condensación, precipitación y recogida, con flechas y etiquetas simples que faciliten la comprensión.</t>
  </si>
  <si>
    <t>Describa todas las imágenes mediante un texto alternativo para que pueda ser leído por un lector de pantalla.</t>
  </si>
  <si>
    <t>El texto alternativo puede añadirse, por ejemplo, haciendo clic derecho sobre el objeto y seleccionando “Editar texto alternativo”. Ejemplo: “Diagrama del ciclo del agua”.</t>
  </si>
  <si>
    <t>Asegúrese de que haya suficiente contraste entre el fondo y el primer plano en las imágenes utilizadas.</t>
  </si>
  <si>
    <t>Si hay un fondo de cielo y montañas detrás de una vaca sobre el pasto, deben distinguirse claramente.</t>
  </si>
  <si>
    <t>No incluya texto dentro de las imágenes.</t>
  </si>
  <si>
    <t>En lugar de insertar el texto dentro de la imagen, escríbalo como título o en un párrafo aparte.</t>
  </si>
  <si>
    <t>Al utilizar tablas, asegúrese de que estén bien estructuradas y claramente descritas.</t>
  </si>
  <si>
    <t>Incluya una fila de encabezado y mantenlas simples, evitando celdas vacías, combinadas o anidadas.</t>
  </si>
  <si>
    <t>Cuando sea posible, use patrones u otros medios alternativos además del color para diferenciar contenidos o funcionalidades.</t>
  </si>
  <si>
    <t>En los gráficos, en lugar de usar solo los colores verde y rojo, utilice puntos y rayas para distinguirlos, facilitando la comprensión también para personas con daltonismo.</t>
  </si>
  <si>
    <t>Evite insertar tablas como imágenes o capturas de pantalla: créelas directamente en el documento.</t>
  </si>
  <si>
    <t>Asegúrese de que el audio tenga buena calidad en cuanto a tono, duración, intensidad y claridad. Si es necesario, reduzca el ruido de fondo.</t>
  </si>
  <si>
    <t>Puede editar el audio, por ejemplo, con el software Audacity.</t>
  </si>
  <si>
    <t>Evite el audio de fondo o redúcelo.</t>
  </si>
  <si>
    <t>No hay música de fondo mientras alguien habla.</t>
  </si>
  <si>
    <t>Verifique que la voz en el audio sea lenta, clara y con un volumen adecuado.</t>
  </si>
  <si>
    <t>Si graba una pista de audio, asegúrese de que la voz tenga buena pronunciación y dicción, y deje pausas suficientes para que el público comprenda la información antes de continuar.</t>
  </si>
  <si>
    <t>Proporcione controles visibles y accesibles para pausar o detener el audio. Si es posible, incluya controles separados de volumen o silencio para efectos, voz y música de fondo.</t>
  </si>
  <si>
    <t>Asegúrese de que haya botones para detener, pausar y ajustar el volumen.</t>
  </si>
  <si>
    <t>Si tiene estudiantes con discapacidad auditiva, incluya una transcripción textual del audio (véase el apartado 5.3: subtitulado y audiodescripción). Asegúrese también de que los estudiantes puedan controlar las alternativas textuales.</t>
  </si>
  <si>
    <t>La transcripción puede ser útil para quienes no pueden escuchar el audio, además de poder traducirse a otros idiomas o imprimirse en braille. Asegúrese de incluir botones para mostrar/ocultar las alternativas textuales.</t>
  </si>
  <si>
    <t>Asegúrese de que el vídeo y el sonido sean claros y de alta calidad.</t>
  </si>
  <si>
    <t>Proporcione alternativas sincronizadas para el vídeo.</t>
  </si>
  <si>
    <t>Añada subtitulado, audiodescripción, transcripción completa o lengua de signos (LS).</t>
  </si>
  <si>
    <t>Proporcione una descripción textual y transcripción del vídeo.</t>
  </si>
  <si>
    <t>Garantice que los estudiantes tengan control sobre la gestión de la reproducción del vídeo y sus alternativas.</t>
  </si>
  <si>
    <t>Hay botones para parar, pausar, avanzar y retroceder el vídeo. Hay botones para mostrar las alternativas.</t>
  </si>
  <si>
    <t>Asegúrese de que haya suficiente contraste entre el fondo y el primer plano del vídeo.</t>
  </si>
  <si>
    <t>Evite la cámara lenta y rápida.</t>
  </si>
  <si>
    <t>Al elaborar el contenido, evite las elecciones de diseño que tienden a provocar convulsiones o reacciones físicas.</t>
  </si>
  <si>
    <t>Absténgase de usar elementos intermitentes.</t>
  </si>
  <si>
    <t>Mantenga la coherencia en la identificación y apariencia (forma, tamaño, color, ubicación, etc.) de los elementos que tienen la misma funcionalidad (enlaces, iconos, botones, etc.) en todo el sitio web, la aplicación o el documento.</t>
  </si>
  <si>
    <t>Por ejemplo, si el icono de búsqueda es una lupa, debe continuar siendo una lupa en todo el REA.</t>
  </si>
  <si>
    <t>Resalte visualmente los elementos interactivos, como los hipervínculos, los botones, las listas, los menús y los cuadros de diálogo. En el caso de los hipervínculos, aclare adónde dirigen.</t>
  </si>
  <si>
    <t>Subraye el texto de los hipervínculos o colóquelos en un cuadro.</t>
  </si>
  <si>
    <t>Asegúrese de que los elementos interactivos y los controles virtuales sean grandes y estén bien espaciados, sobre todo en pantallas pequeñas o táctiles, o que puedan ajustarse en tamaño para mejorar la experiencia interactiva de los estudiantes.</t>
  </si>
  <si>
    <t>El tamaño de un botón en la pantalla de un teléfono móvil debe ser de al menos 9 mm.</t>
  </si>
  <si>
    <t>Ofrezca opciones para pausar, detener u ocultar cualquier información que se mueva, parpadee, se actualice automáticamente o se desplace, siempre que sea posible, cuando cumpla alguno de los siguientes criterios: (1) se inicia automáticamente, (2) dura más de cinco segundos o (3) se muestra simultáneamente con otros contenidos.</t>
  </si>
  <si>
    <t>Si una página incluye un vídeo con sonido de inicio automático, ofrezca controles para pausar, parar o silenciar el vídeo. Por ejemplo, en un vídeo de demostración de un experimento de ciencias, los estudiantes deberían poder iniciarlo manualmente y modificar los ajustes a su conveniencia.</t>
  </si>
  <si>
    <t>Garantice que todo el contenido y las funcionalidades de los distintos controles estén disponibles para las tecnologías de asistencia, como los lectores de pantalla.</t>
  </si>
  <si>
    <t>Compruebe que los elementos del entorno de aprendizaje (por ejemplo, los botones) cambian de estado y posición solo cuando es necesario, ya que esto ayuda a evitar la confusión.</t>
  </si>
  <si>
    <t>A los estudiantes con dificultades les resulta más fácil encontrar el botón de «volver» si se coloca siempre en la esquina inferior izquierda.</t>
  </si>
  <si>
    <t>Permita a los estudiantes comprobar su progreso, indicando, por ejemplo, qué partes han completado con éxito.</t>
  </si>
  <si>
    <t>Un sistema de puntuación con estrellas o una barra de progreso en cada ejercicio puede ayudar a comprender el estado de compleción de una sesión.</t>
  </si>
  <si>
    <t>Permita a los estudiantes guardar su progreso para que puedan retomar su trabajo más tarde.</t>
  </si>
  <si>
    <t>Use programas que permitan pausar y guardar el trabajo automática o manualmente, evitando que los estudiantes tengan que reintroducir toda la información.</t>
  </si>
  <si>
    <t>Incluya un mecanismo para revisar, confirmar y corregir la información antes de que los estudiantes finalicen el envío de datos.</t>
  </si>
  <si>
    <t>Por ejemplo, antes de enviar las respuestas, la aplicación debería pedir una confirmación al estudiante.</t>
  </si>
  <si>
    <t>Asegúrese de que cada sección o pantalla del sitio web o aplicación incluye un título o encabezamiento y de que el orden es intuitivo y guía al estudiante paso a paso por el REA.</t>
  </si>
  <si>
    <t>Por ejemplo, en un formulario, los campos deben disponerse en el orden en que deben rellenarse.</t>
  </si>
  <si>
    <t>Garantice que la funcionalidad de cada material educativo digital sea fácil de manejar a través de dispositivos de entrada estándar (teclado, ratón) y también a través de otros no estándar que utilicen tecnología de apoyo adicional (botones, emuladores, etc.).</t>
  </si>
  <si>
    <t>Reduzca la activación accidental de controles.</t>
  </si>
  <si>
    <t>Por ejemplo, en el caso de los elementos de la interfaz que responden a un solo toque o a una pulsación larga, su evento correspondiente se activa cuando se levanta el dedo mientras aún se está dentro de ese elemento.</t>
  </si>
  <si>
    <t>Asegúrese de que los formularios sean fáciles de rellenar y proporcione herramientas para ayudar a los estudiantes a cumplimentarlos, junto con opciones para evitar y/o corregir cualquier error durante el proceso.</t>
  </si>
  <si>
    <t>Los predictores de palabras y el uso de listas y listas con valores por defecto evitan teclear y, en consecuencia, minimizan los errores.</t>
  </si>
  <si>
    <t>Proporcione tecnologías de asistencia con apoyo oficial que ya sean plenamente accesibles. Garantice que las herramientas de terceros que se utilicen sean accesibles.</t>
  </si>
  <si>
    <t>Por ejemplo, el software para eye-tracking.</t>
  </si>
  <si>
    <t>Compruebe que el juego es accesible para todos los estudiantes de la clase.</t>
  </si>
  <si>
    <t>Si usa https://genially.com para crear un juego, puede emplear todos los ajustes de accesibilidad que se ofrecen.</t>
  </si>
  <si>
    <t>Compruebe que el juego es fácil de aprender, pero difícil de dominar.</t>
  </si>
  <si>
    <t>Pueden ofrecerse varios niveles de dificultad.</t>
  </si>
  <si>
    <t>Asegúrese de que el juego no suponga una carga innecesaria para el jugador.</t>
  </si>
  <si>
    <t>El juego se adapta al nivel cognitivo o a las habilidades motrices del alumno.</t>
  </si>
  <si>
    <t>Asegúrese de que los jugadores sienten que sus acciones son significativas. Las acciones deben tener un efecto directo y una respuesta inmediata para que los jugadores tengan una sensación de control e influencia en el mundo del juego.</t>
  </si>
  <si>
    <t>El juego no continúa hasta que el jugador pulsa un botón, se requiere la acción del jugador para activar el juego, empezar un capítulo, reproducir sonidos, etc.</t>
  </si>
  <si>
    <t>Compruebe que los controles del juego son coherentes, intuitivos y están asignados de forma natural (es decir, se controlan con las teclas más convencionales del juego).</t>
  </si>
  <si>
    <t>El botón o tecla de flecha derecha mueve un personaje hacia la derecha.</t>
  </si>
  <si>
    <t>Ofrezca un tutorial para introducir todos los controles generales necesarios para progresar en el juego mediante una serie de pequeñas tareas.</t>
  </si>
  <si>
    <t>Antes de empezar el primer capítulo, el jugador puede aprender cómo moverse por el juego paso a paso.</t>
  </si>
  <si>
    <t>Compruebe que los retos del juego están en orden para que los jugadores apliquen los conocimientos adquiridos en problemas anteriores para resolver los siguientes.</t>
  </si>
  <si>
    <t>Primero muestre cómo se puede hacer saltar a un personaje antes de ponerlo en una situación en la que tenga que saltar.</t>
  </si>
  <si>
    <t>Proporcione información como descripciones de situaciones o pistas «a la carta» y «justo a tiempo».</t>
  </si>
  <si>
    <t>No revele lo que va a ocurrir a menos que el jugador lo pida o esté en una escena que requiera instrucciones.</t>
  </si>
  <si>
    <t>Asegúrese de que el objetivo u objetivos del juego puedan ser entendidos por todos los estudiantes, con y sin discapacidad.</t>
  </si>
  <si>
    <t>Las puntuaciones pueden mostrarse con un número, con una o varias estrellas o con una barra de progreso.</t>
  </si>
  <si>
    <t>En el caso de jugadores con dificultades visuales, utilice sonido estéreo, binaural o envolvente para la localización de los objetos del juego. Seleccione sonidos y música distintivos para todos los objetos y eventos interactivos.</t>
  </si>
  <si>
    <t>El audio estéreo proporciona una sensación de direccionalidad, el audio binaural profundiza en la réplica de la percepción y el audio inmersivo rodea al oyente con un entorno sonoro tridimensional. Cada personaje puede tener un sonido distintivo cuando lo tocas o lo mueves.</t>
  </si>
  <si>
    <t>Asegúrese de que la historia del juego fomenta la inmersión y la identidad si el juego tiene un componente de historia.</t>
  </si>
  <si>
    <t>El fondo puede ser algún lugar conocido o significativo. Se pueden usar avatares para asociar o identificar a los jugadores.</t>
  </si>
  <si>
    <t>DI</t>
  </si>
  <si>
    <t>AC</t>
  </si>
  <si>
    <t>TT</t>
  </si>
  <si>
    <t>SD</t>
  </si>
  <si>
    <t>OM</t>
  </si>
  <si>
    <t>OA</t>
  </si>
  <si>
    <t>MD</t>
  </si>
  <si>
    <t>AT</t>
  </si>
  <si>
    <t>ES</t>
  </si>
  <si>
    <t>DD</t>
  </si>
  <si>
    <t>PA</t>
  </si>
  <si>
    <t>RP</t>
  </si>
  <si>
    <t>RR</t>
  </si>
  <si>
    <t>MO</t>
  </si>
  <si>
    <t>EF</t>
  </si>
  <si>
    <t>US</t>
  </si>
  <si>
    <t>LI</t>
  </si>
  <si>
    <t>CG</t>
  </si>
  <si>
    <t>SC</t>
  </si>
  <si>
    <t>NS</t>
  </si>
  <si>
    <t>CT</t>
  </si>
  <si>
    <t>AP</t>
  </si>
  <si>
    <t>ADP</t>
  </si>
  <si>
    <t>SEG</t>
  </si>
  <si>
    <t>AYU</t>
  </si>
  <si>
    <t>DIS</t>
  </si>
  <si>
    <t>PER</t>
  </si>
  <si>
    <t>FUE</t>
  </si>
  <si>
    <t>NAV</t>
  </si>
  <si>
    <t>USO</t>
  </si>
  <si>
    <t>DES</t>
  </si>
  <si>
    <t>ELE</t>
  </si>
  <si>
    <t>ADA</t>
  </si>
  <si>
    <t>TEX</t>
  </si>
  <si>
    <t>AUD</t>
  </si>
  <si>
    <t>JUE</t>
  </si>
  <si>
    <t>IMA</t>
  </si>
  <si>
    <t>VID</t>
  </si>
  <si>
    <t>WEB</t>
  </si>
  <si>
    <t>dimension_id</t>
  </si>
  <si>
    <t>subdimension_id</t>
  </si>
  <si>
    <t>categoria_id</t>
  </si>
  <si>
    <t>IDI</t>
  </si>
  <si>
    <t>Accesibilidad cognitiva</t>
  </si>
  <si>
    <t>Lectura fácil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</si>
</sst>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NumberFormat="1"/>
  </cellXfs>
  <cellStyles count="1">
    <cellStyle name="Normal" xfId="0" builtinId="0"/>
  </cellStyles>
  <dxfs count="10">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DDC2C4-9A4A-404B-A64C-C293D1138098}" name="Tabla1" displayName="Tabla1" ref="B2:K123" totalsRowShown="0">
  <autoFilter ref="B2:K123" xr:uid="{CADDC2C4-9A4A-404B-A64C-C293D1138098}"/>
  <tableColumns count="10">
    <tableColumn id="1" xr3:uid="{0A4592D5-09CE-4C58-AD69-427B4FBA3360}" name="id" dataDxfId="9">
      <calculatedColumnFormula>+Tabla1[[#This Row],[dimension_id]]&amp;"_"&amp;Tabla1[[#This Row],[subdimension_id]]&amp;"_"&amp;Tabla1[[#This Row],[categoria_id]]</calculatedColumnFormula>
    </tableColumn>
    <tableColumn id="2" xr3:uid="{46EB08AB-E0F1-4C90-8049-B1018DEB2731}" name="dimension"/>
    <tableColumn id="3" xr3:uid="{6154A944-9785-469A-A8BF-A0F33942DDC8}" name="subdimension"/>
    <tableColumn id="4" xr3:uid="{9BFCAC68-8B41-468E-956A-11590DC3C349}" name="categoria"/>
    <tableColumn id="5" xr3:uid="{E1F8332B-5706-4E23-B364-098E9AE66962}" name="recomendacion"/>
    <tableColumn id="6" xr3:uid="{83C1E555-E7CD-4E61-9D64-00312B697B96}" name="ejemplo"/>
    <tableColumn id="7" xr3:uid="{197DA6FE-A4EC-4C0E-AE6A-A893F75E4EC3}" name="texto_embedding" dataDxfId="8">
      <calculatedColumnFormula>+"Dimensión: " &amp; Tabla1[[#This Row],[dimension]] &amp; " -- " &amp; "Subdimensión: " &amp; Tabla1[[#This Row],[subdimension]] &amp; " -- " &amp; "Categoría: " &amp; Tabla1[[#This Row],[categoria]] &amp; " -- " &amp; Tabla1[[#This Row],[recomendacion]]</calculatedColumnFormula>
    </tableColumn>
    <tableColumn id="10" xr3:uid="{CD4BB79E-2D6F-403A-9B5C-38DDE0B98A97}" name="dimension_id" dataDxfId="7">
      <calculatedColumnFormula>IFERROR(VLOOKUP(Tabla1[[#This Row],[dimension]],Datos!$B$2:$C$6,2,0),"dim")</calculatedColumnFormula>
    </tableColumn>
    <tableColumn id="11" xr3:uid="{DBC907CB-844B-4CF8-B320-BBC125230D14}" name="subdimension_id" dataDxfId="6">
      <calculatedColumnFormula>IFERROR(VLOOKUP(Tabla1[[#This Row],[subdimension]],Datos!$E$2:$F$20,2,0),"subdim")</calculatedColumnFormula>
    </tableColumn>
    <tableColumn id="12" xr3:uid="{4F5FF431-F280-45C8-84FB-EF15652DA562}" name="categoria_id" dataDxfId="5">
      <calculatedColumnFormula>IFERROR(VLOOKUP(Tabla1[[#This Row],[categoria]],Datos!$H$2:$I$21,2,0),"cat")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C60D-F5DD-4A72-B25A-B86106600048}">
  <sheetPr codeName="Hoja1"/>
  <dimension ref="B2:K123"/>
  <sheetViews>
    <sheetView tabSelected="1" topLeftCell="A97" zoomScaleNormal="100" workbookViewId="0">
      <selection activeCell="F104" sqref="F104"/>
    </sheetView>
  </sheetViews>
  <sheetFormatPr baseColWidth="10" defaultRowHeight="15" x14ac:dyDescent="0.25"/>
  <cols>
    <col min="2" max="2" width="15" bestFit="1" customWidth="1"/>
    <col min="3" max="3" width="29.85546875" bestFit="1" customWidth="1"/>
    <col min="4" max="4" width="52.140625" bestFit="1" customWidth="1"/>
    <col min="5" max="5" width="25.28515625" bestFit="1" customWidth="1"/>
    <col min="6" max="8" width="255.7109375" bestFit="1" customWidth="1"/>
    <col min="9" max="9" width="15.42578125" bestFit="1" customWidth="1"/>
    <col min="10" max="10" width="18.85546875" bestFit="1" customWidth="1"/>
    <col min="11" max="11" width="14.140625" bestFit="1" customWidth="1"/>
  </cols>
  <sheetData>
    <row r="2" spans="2:11" x14ac:dyDescent="0.25">
      <c r="B2" t="s">
        <v>0</v>
      </c>
      <c r="C2" t="s">
        <v>1</v>
      </c>
      <c r="D2" t="s">
        <v>2</v>
      </c>
      <c r="E2" t="s">
        <v>3</v>
      </c>
      <c r="F2" t="s">
        <v>4</v>
      </c>
      <c r="G2" t="s">
        <v>5</v>
      </c>
      <c r="H2" t="s">
        <v>6</v>
      </c>
      <c r="I2" t="s">
        <v>293</v>
      </c>
      <c r="J2" t="s">
        <v>294</v>
      </c>
      <c r="K2" t="s">
        <v>295</v>
      </c>
    </row>
    <row r="3" spans="2:11" x14ac:dyDescent="0.25">
      <c r="B3" t="str">
        <f>+Tabla1[[#This Row],[dimension_id]]&amp;"_"&amp;Tabla1[[#This Row],[subdimension_id]]&amp;"_"&amp;Tabla1[[#This Row],[categoria_id]]</f>
        <v>DI_OM_cat</v>
      </c>
      <c r="C3" s="1" t="s">
        <v>7</v>
      </c>
      <c r="D3" t="s">
        <v>8</v>
      </c>
      <c r="F3" t="s">
        <v>43</v>
      </c>
      <c r="H3" t="str">
        <f>+"Dimensión: " &amp; Tabla1[[#This Row],[dimension]] &amp; " -- " &amp; "Subdimensión: " &amp; Tabla1[[#This Row],[subdimension]] &amp; " -- " &amp; "Categoría: " &amp; Tabla1[[#This Row],[categoria]] &amp; " -- " &amp; Tabla1[[#This Row],[recomendacion]]</f>
        <v>Dimensión: Didáctica inclusiva -- Subdimensión: Objetivos y metas -- Categoría:  -- Proporcione información sobre los objetivos y metas de aprendizaje en la portada del recurso. Asegúrese de que todos los objetivos de aprendizaje sean alcanzables, mensurables, relevantes, claramente enunciados y concisos para los estudiantes y otros docentes que utilicen sus REA.</v>
      </c>
      <c r="I3" t="str">
        <f>IFERROR(VLOOKUP(Tabla1[[#This Row],[dimension]],Datos!$B$2:$C$6,2,0),"dim")</f>
        <v>DI</v>
      </c>
      <c r="J3" t="str">
        <f>IFERROR(VLOOKUP(Tabla1[[#This Row],[subdimension]],Datos!$E$2:$F$20,2,0),"subdim")</f>
        <v>OM</v>
      </c>
      <c r="K3" s="1" t="str">
        <f>IFERROR(VLOOKUP(Tabla1[[#This Row],[categoria]],Datos!$H$2:$I$21,2,0),"cat")</f>
        <v>cat</v>
      </c>
    </row>
    <row r="4" spans="2:11" x14ac:dyDescent="0.25">
      <c r="B4" t="str">
        <f>+Tabla1[[#This Row],[dimension_id]]&amp;"_"&amp;Tabla1[[#This Row],[subdimension_id]]&amp;"_"&amp;Tabla1[[#This Row],[categoria_id]]</f>
        <v>DI_OA_cat</v>
      </c>
      <c r="C4" s="1" t="s">
        <v>7</v>
      </c>
      <c r="D4" t="s">
        <v>41</v>
      </c>
      <c r="F4" t="s">
        <v>42</v>
      </c>
      <c r="G4" t="s">
        <v>44</v>
      </c>
      <c r="H4" t="str">
        <f>+"Dimensión: " &amp; Tabla1[[#This Row],[dimension]] &amp; " -- " &amp; "Subdimensión: " &amp; Tabla1[[#This Row],[subdimension]] &amp; " -- " &amp; "Categoría: " &amp; Tabla1[[#This Row],[categoria]] &amp; " -- " &amp; Tabla1[[#This Row],[recomendacion]]</f>
        <v>Dimensión: Didáctica inclusiva -- Subdimensión: Objetivos de aprendizaje para la enseñanza diferenciada -- Categoría:  -- Personalice, ajuste y adapte sus REA para obtener resultados de aprendizaje óptimos, que pueden no ser los mismos para todos. Asegúrese de que los objetivos y contenidos de un REA se basen en la edad y el nivel de competencia inicial de los estudiantes.</v>
      </c>
      <c r="I4" t="str">
        <f>IFERROR(VLOOKUP(Tabla1[[#This Row],[dimension]],Datos!$B$2:$C$6,2,0),"dim")</f>
        <v>DI</v>
      </c>
      <c r="J4" t="str">
        <f>IFERROR(VLOOKUP(Tabla1[[#This Row],[subdimension]],Datos!$E$2:$F$20,2,0),"subdim")</f>
        <v>OA</v>
      </c>
      <c r="K4" s="1" t="str">
        <f>IFERROR(VLOOKUP(Tabla1[[#This Row],[categoria]],Datos!$H$2:$I$21,2,0),"cat")</f>
        <v>cat</v>
      </c>
    </row>
    <row r="5" spans="2:11" x14ac:dyDescent="0.25">
      <c r="B5" t="str">
        <f>+Tabla1[[#This Row],[dimension_id]]&amp;"_"&amp;Tabla1[[#This Row],[subdimension_id]]&amp;"_"&amp;Tabla1[[#This Row],[categoria_id]]</f>
        <v>DI_OA_cat</v>
      </c>
      <c r="C5" s="1" t="s">
        <v>7</v>
      </c>
      <c r="D5" t="s">
        <v>41</v>
      </c>
      <c r="F5" t="s">
        <v>45</v>
      </c>
      <c r="G5" t="s">
        <v>46</v>
      </c>
      <c r="H5" t="str">
        <f>+"Dimensión: " &amp; Tabla1[[#This Row],[dimension]] &amp; " -- " &amp; "Subdimensión: " &amp; Tabla1[[#This Row],[subdimension]] &amp; " -- " &amp; "Categoría: " &amp; Tabla1[[#This Row],[categoria]] &amp; " -- " &amp; Tabla1[[#This Row],[recomendacion]]</f>
        <v>Dimensión: Didáctica inclusiva -- Subdimensión: Objetivos de aprendizaje para la enseñanza diferenciada -- Categoría:  -- Al crear o utilizar REA, tenga en cuenta las necesidades de sus estudiantes (incluidos los estudiantes con discapacidades y necesidades educativas específicas, así como los estudiantes de alto rendimiento), especialmente en el diseño y la metodología de los REA. Considerar las necesidades de los estudiantes desde el principio puede evitar la realización de adaptaciones posteriores.</v>
      </c>
      <c r="I5" t="str">
        <f>IFERROR(VLOOKUP(Tabla1[[#This Row],[dimension]],Datos!$B$2:$C$6,2,0),"dim")</f>
        <v>DI</v>
      </c>
      <c r="J5" t="str">
        <f>IFERROR(VLOOKUP(Tabla1[[#This Row],[subdimension]],Datos!$E$2:$F$20,2,0),"subdim")</f>
        <v>OA</v>
      </c>
      <c r="K5" t="str">
        <f>IFERROR(VLOOKUP(Tabla1[[#This Row],[categoria]],Datos!$H$2:$I$21,2,0),"cat")</f>
        <v>cat</v>
      </c>
    </row>
    <row r="6" spans="2:11" x14ac:dyDescent="0.25">
      <c r="B6" t="str">
        <f>+Tabla1[[#This Row],[dimension_id]]&amp;"_"&amp;Tabla1[[#This Row],[subdimension_id]]&amp;"_"&amp;Tabla1[[#This Row],[categoria_id]]</f>
        <v>DI_MD_cat</v>
      </c>
      <c r="C6" s="1" t="s">
        <v>7</v>
      </c>
      <c r="D6" t="s">
        <v>10</v>
      </c>
      <c r="F6" t="s">
        <v>47</v>
      </c>
      <c r="H6" t="str">
        <f>+"Dimensión: " &amp; Tabla1[[#This Row],[dimension]] &amp; " -- " &amp; "Subdimensión: " &amp; Tabla1[[#This Row],[subdimension]] &amp; " -- " &amp; "Categoría: " &amp; Tabla1[[#This Row],[categoria]] &amp; " -- " &amp; Tabla1[[#This Row],[recomendacion]]</f>
        <v>Dimensión: Didáctica inclusiva -- Subdimensión: Metadatos -- Categoría:  -- Incluya instrucciones para las actividades de aprendizaje y explique las metodologías.</v>
      </c>
      <c r="I6" t="str">
        <f>IFERROR(VLOOKUP(Tabla1[[#This Row],[dimension]],Datos!$B$2:$C$6,2,0),"dim")</f>
        <v>DI</v>
      </c>
      <c r="J6" t="str">
        <f>IFERROR(VLOOKUP(Tabla1[[#This Row],[subdimension]],Datos!$E$2:$F$20,2,0),"subdim")</f>
        <v>MD</v>
      </c>
      <c r="K6" t="str">
        <f>IFERROR(VLOOKUP(Tabla1[[#This Row],[categoria]],Datos!$H$2:$I$21,2,0),"cat")</f>
        <v>cat</v>
      </c>
    </row>
    <row r="7" spans="2:11" x14ac:dyDescent="0.25">
      <c r="B7" t="str">
        <f>+Tabla1[[#This Row],[dimension_id]]&amp;"_"&amp;Tabla1[[#This Row],[subdimension_id]]&amp;"_"&amp;Tabla1[[#This Row],[categoria_id]]</f>
        <v>DI_MD_cat</v>
      </c>
      <c r="C7" s="1" t="s">
        <v>7</v>
      </c>
      <c r="D7" t="s">
        <v>10</v>
      </c>
      <c r="F7" t="s">
        <v>48</v>
      </c>
      <c r="H7" t="str">
        <f>+"Dimensión: " &amp; Tabla1[[#This Row],[dimension]] &amp; " -- " &amp; "Subdimensión: " &amp; Tabla1[[#This Row],[subdimension]] &amp; " -- " &amp; "Categoría: " &amp; Tabla1[[#This Row],[categoria]] &amp; " -- " &amp; Tabla1[[#This Row],[recomendacion]]</f>
        <v>Dimensión: Didáctica inclusiva -- Subdimensión: Metadatos -- Categoría:  -- Indique para qué grupo objetivo de estudiantes se ha creado el recurso, así como los conocimientos previos necesarios.</v>
      </c>
      <c r="I7" t="str">
        <f>IFERROR(VLOOKUP(Tabla1[[#This Row],[dimension]],Datos!$B$2:$C$6,2,0),"dim")</f>
        <v>DI</v>
      </c>
      <c r="J7" t="str">
        <f>IFERROR(VLOOKUP(Tabla1[[#This Row],[subdimension]],Datos!$E$2:$F$20,2,0),"subdim")</f>
        <v>MD</v>
      </c>
      <c r="K7" t="str">
        <f>IFERROR(VLOOKUP(Tabla1[[#This Row],[categoria]],Datos!$H$2:$I$21,2,0),"cat")</f>
        <v>cat</v>
      </c>
    </row>
    <row r="8" spans="2:11" x14ac:dyDescent="0.25">
      <c r="B8" t="str">
        <f>+Tabla1[[#This Row],[dimension_id]]&amp;"_"&amp;Tabla1[[#This Row],[subdimension_id]]&amp;"_"&amp;Tabla1[[#This Row],[categoria_id]]</f>
        <v>DI_MD_cat</v>
      </c>
      <c r="C8" s="1" t="s">
        <v>7</v>
      </c>
      <c r="D8" t="s">
        <v>10</v>
      </c>
      <c r="F8" t="s">
        <v>49</v>
      </c>
      <c r="H8" t="str">
        <f>+"Dimensión: " &amp; Tabla1[[#This Row],[dimension]] &amp; " -- " &amp; "Subdimensión: " &amp; Tabla1[[#This Row],[subdimension]] &amp; " -- " &amp; "Categoría: " &amp; Tabla1[[#This Row],[categoria]] &amp; " -- " &amp; Tabla1[[#This Row],[recomendacion]]</f>
        <v>Dimensión: Didáctica inclusiva -- Subdimensión: Metadatos -- Categoría:  -- Tenga en cuenta el tiempo estimado necesario para completar el material (hojas de ejercicios o planes de lecciones) (y prepare material y actividades adicionales para los estudiantes más rápidos).</v>
      </c>
      <c r="I8" t="str">
        <f>IFERROR(VLOOKUP(Tabla1[[#This Row],[dimension]],Datos!$B$2:$C$6,2,0),"dim")</f>
        <v>DI</v>
      </c>
      <c r="J8" t="str">
        <f>IFERROR(VLOOKUP(Tabla1[[#This Row],[subdimension]],Datos!$E$2:$F$20,2,0),"subdim")</f>
        <v>MD</v>
      </c>
      <c r="K8" t="str">
        <f>IFERROR(VLOOKUP(Tabla1[[#This Row],[categoria]],Datos!$H$2:$I$21,2,0),"cat")</f>
        <v>cat</v>
      </c>
    </row>
    <row r="9" spans="2:11" x14ac:dyDescent="0.25">
      <c r="B9" t="str">
        <f>+Tabla1[[#This Row],[dimension_id]]&amp;"_"&amp;Tabla1[[#This Row],[subdimension_id]]&amp;"_"&amp;Tabla1[[#This Row],[categoria_id]]</f>
        <v>DI_MD_cat</v>
      </c>
      <c r="C9" s="1" t="s">
        <v>7</v>
      </c>
      <c r="D9" t="s">
        <v>10</v>
      </c>
      <c r="F9" t="s">
        <v>50</v>
      </c>
      <c r="H9" t="str">
        <f>+"Dimensión: " &amp; Tabla1[[#This Row],[dimension]] &amp; " -- " &amp; "Subdimensión: " &amp; Tabla1[[#This Row],[subdimension]] &amp; " -- " &amp; "Categoría: " &amp; Tabla1[[#This Row],[categoria]] &amp; " -- " &amp; Tabla1[[#This Row],[recomendacion]]</f>
        <v>Dimensión: Didáctica inclusiva -- Subdimensión: Metadatos -- Categoría:  -- Asegúrese de que los ejercicios y actividades estén respaldados por claves de respuestas o pautas de puntuación.</v>
      </c>
      <c r="I9" t="str">
        <f>IFERROR(VLOOKUP(Tabla1[[#This Row],[dimension]],Datos!$B$2:$C$6,2,0),"dim")</f>
        <v>DI</v>
      </c>
      <c r="J9" t="str">
        <f>IFERROR(VLOOKUP(Tabla1[[#This Row],[subdimension]],Datos!$E$2:$F$20,2,0),"subdim")</f>
        <v>MD</v>
      </c>
      <c r="K9" t="str">
        <f>IFERROR(VLOOKUP(Tabla1[[#This Row],[categoria]],Datos!$H$2:$I$21,2,0),"cat")</f>
        <v>cat</v>
      </c>
    </row>
    <row r="10" spans="2:11" x14ac:dyDescent="0.25">
      <c r="B10" t="str">
        <f>+Tabla1[[#This Row],[dimension_id]]&amp;"_"&amp;Tabla1[[#This Row],[subdimension_id]]&amp;"_"&amp;Tabla1[[#This Row],[categoria_id]]</f>
        <v>DI_IDI_cat</v>
      </c>
      <c r="C10" s="1" t="s">
        <v>7</v>
      </c>
      <c r="D10" t="s">
        <v>11</v>
      </c>
      <c r="F10" t="s">
        <v>51</v>
      </c>
      <c r="H10" t="str">
        <f>+"Dimensión: " &amp; Tabla1[[#This Row],[dimension]] &amp; " -- " &amp; "Subdimensión: " &amp; Tabla1[[#This Row],[subdimension]] &amp; " -- " &amp; "Categoría: " &amp; Tabla1[[#This Row],[categoria]] &amp; " -- " &amp; Tabla1[[#This Row],[recomendacion]]</f>
        <v>Dimensión: Didáctica inclusiva -- Subdimensión: Idioma -- Categoría:  -- Asegúrese de que el lenguaje sea claro, coherente, conciso y fácilmente comprensible para otros docentes y profesionales del ámbito educativo.</v>
      </c>
      <c r="I10" t="str">
        <f>IFERROR(VLOOKUP(Tabla1[[#This Row],[dimension]],Datos!$B$2:$C$6,2,0),"dim")</f>
        <v>DI</v>
      </c>
      <c r="J10" t="str">
        <f>IFERROR(VLOOKUP(Tabla1[[#This Row],[subdimension]],Datos!$E$2:$F$20,2,0),"subdim")</f>
        <v>IDI</v>
      </c>
      <c r="K10" t="str">
        <f>IFERROR(VLOOKUP(Tabla1[[#This Row],[categoria]],Datos!$H$2:$I$21,2,0),"cat")</f>
        <v>cat</v>
      </c>
    </row>
    <row r="11" spans="2:11" x14ac:dyDescent="0.25">
      <c r="B11" t="str">
        <f>+Tabla1[[#This Row],[dimension_id]]&amp;"_"&amp;Tabla1[[#This Row],[subdimension_id]]&amp;"_"&amp;Tabla1[[#This Row],[categoria_id]]</f>
        <v>DI_CT_cat</v>
      </c>
      <c r="C11" s="1" t="s">
        <v>7</v>
      </c>
      <c r="D11" t="s">
        <v>12</v>
      </c>
      <c r="F11" t="s">
        <v>52</v>
      </c>
      <c r="H11" t="str">
        <f>+"Dimensión: " &amp; Tabla1[[#This Row],[dimension]] &amp; " -- " &amp; "Subdimensión: " &amp; Tabla1[[#This Row],[subdimension]] &amp; " -- " &amp; "Categoría: " &amp; Tabla1[[#This Row],[categoria]] &amp; " -- " &amp; Tabla1[[#This Row],[recomendacion]]</f>
        <v>Dimensión: Didáctica inclusiva -- Subdimensión: Actualización -- Categoría:  -- Asegúrese de que el contenido sea actual, actualizado o atemporal. Si es necesario, actualícelo.</v>
      </c>
      <c r="I11" t="str">
        <f>IFERROR(VLOOKUP(Tabla1[[#This Row],[dimension]],Datos!$B$2:$C$6,2,0),"dim")</f>
        <v>DI</v>
      </c>
      <c r="J11" t="str">
        <f>IFERROR(VLOOKUP(Tabla1[[#This Row],[subdimension]],Datos!$E$2:$F$20,2,0),"subdim")</f>
        <v>CT</v>
      </c>
      <c r="K11" t="str">
        <f>IFERROR(VLOOKUP(Tabla1[[#This Row],[categoria]],Datos!$H$2:$I$21,2,0),"cat")</f>
        <v>cat</v>
      </c>
    </row>
    <row r="12" spans="2:11" x14ac:dyDescent="0.25">
      <c r="B12" t="str">
        <f>+Tabla1[[#This Row],[dimension_id]]&amp;"_"&amp;Tabla1[[#This Row],[subdimension_id]]&amp;"_"&amp;Tabla1[[#This Row],[categoria_id]]</f>
        <v>DI_ES_cat</v>
      </c>
      <c r="C12" s="1" t="s">
        <v>7</v>
      </c>
      <c r="D12" t="s">
        <v>13</v>
      </c>
      <c r="F12" t="s">
        <v>53</v>
      </c>
      <c r="H12" t="str">
        <f>+"Dimensión: " &amp; Tabla1[[#This Row],[dimension]] &amp; " -- " &amp; "Subdimensión: " &amp; Tabla1[[#This Row],[subdimension]] &amp; " -- " &amp; "Categoría: " &amp; Tabla1[[#This Row],[categoria]] &amp; " -- " &amp; Tabla1[[#This Row],[recomendacion]]</f>
        <v>Dimensión: Didáctica inclusiva -- Subdimensión: Estructura -- Categoría:  -- Asegúrese de que los REA proporcionen una estructura sólida para el desarrollo de conocimientos y habilidades. Por lo tanto, el contenido debe estructurarse en secuencias lógicas y manejables de módulos o lecciones/secciones.</v>
      </c>
      <c r="I12" t="str">
        <f>IFERROR(VLOOKUP(Tabla1[[#This Row],[dimension]],Datos!$B$2:$C$6,2,0),"dim")</f>
        <v>DI</v>
      </c>
      <c r="J12" t="str">
        <f>IFERROR(VLOOKUP(Tabla1[[#This Row],[subdimension]],Datos!$E$2:$F$20,2,0),"subdim")</f>
        <v>ES</v>
      </c>
      <c r="K12" t="str">
        <f>IFERROR(VLOOKUP(Tabla1[[#This Row],[categoria]],Datos!$H$2:$I$21,2,0),"cat")</f>
        <v>cat</v>
      </c>
    </row>
    <row r="13" spans="2:11" x14ac:dyDescent="0.25">
      <c r="B13" t="str">
        <f>+Tabla1[[#This Row],[dimension_id]]&amp;"_"&amp;Tabla1[[#This Row],[subdimension_id]]&amp;"_"&amp;Tabla1[[#This Row],[categoria_id]]</f>
        <v>DI_DD_cat</v>
      </c>
      <c r="C13" s="1" t="s">
        <v>7</v>
      </c>
      <c r="D13" t="s">
        <v>14</v>
      </c>
      <c r="F13" t="s">
        <v>54</v>
      </c>
      <c r="H13" t="str">
        <f>+"Dimensión: " &amp; Tabla1[[#This Row],[dimension]] &amp; " -- " &amp; "Subdimensión: " &amp; Tabla1[[#This Row],[subdimension]] &amp; " -- " &amp; "Categoría: " &amp; Tabla1[[#This Row],[categoria]] &amp; " -- " &amp; Tabla1[[#This Row],[recomendacion]]</f>
        <v>Dimensión: Didáctica inclusiva -- Subdimensión: Didáctica -- Categoría:  -- Vincule el contenido nuevo con los conocimientos, habilidades y experiencias previas de los estudiantes.</v>
      </c>
      <c r="I13" t="str">
        <f>IFERROR(VLOOKUP(Tabla1[[#This Row],[dimension]],Datos!$B$2:$C$6,2,0),"dim")</f>
        <v>DI</v>
      </c>
      <c r="J13" t="str">
        <f>IFERROR(VLOOKUP(Tabla1[[#This Row],[subdimension]],Datos!$E$2:$F$20,2,0),"subdim")</f>
        <v>DD</v>
      </c>
      <c r="K13" t="str">
        <f>IFERROR(VLOOKUP(Tabla1[[#This Row],[categoria]],Datos!$H$2:$I$21,2,0),"cat")</f>
        <v>cat</v>
      </c>
    </row>
    <row r="14" spans="2:11" x14ac:dyDescent="0.25">
      <c r="B14" t="str">
        <f>+Tabla1[[#This Row],[dimension_id]]&amp;"_"&amp;Tabla1[[#This Row],[subdimension_id]]&amp;"_"&amp;Tabla1[[#This Row],[categoria_id]]</f>
        <v>DI_DD_cat</v>
      </c>
      <c r="C14" s="1" t="s">
        <v>7</v>
      </c>
      <c r="D14" t="s">
        <v>14</v>
      </c>
      <c r="F14" t="s">
        <v>55</v>
      </c>
      <c r="H14" t="str">
        <f>+"Dimensión: " &amp; Tabla1[[#This Row],[dimension]] &amp; " -- " &amp; "Subdimensión: " &amp; Tabla1[[#This Row],[subdimension]] &amp; " -- " &amp; "Categoría: " &amp; Tabla1[[#This Row],[categoria]] &amp; " -- " &amp; Tabla1[[#This Row],[recomendacion]]</f>
        <v>Dimensión: Didáctica inclusiva -- Subdimensión: Didáctica -- Categoría:  -- Debe asegurar que los REA posibiliten la transferencia de nuevos conocimientos y habilidades a diferentes tareas, problemas o contextos para consolidar su aprendizaje o construir significado personal.</v>
      </c>
      <c r="I14" t="str">
        <f>IFERROR(VLOOKUP(Tabla1[[#This Row],[dimension]],Datos!$B$2:$C$6,2,0),"dim")</f>
        <v>DI</v>
      </c>
      <c r="J14" t="str">
        <f>IFERROR(VLOOKUP(Tabla1[[#This Row],[subdimension]],Datos!$E$2:$F$20,2,0),"subdim")</f>
        <v>DD</v>
      </c>
      <c r="K14" t="str">
        <f>IFERROR(VLOOKUP(Tabla1[[#This Row],[categoria]],Datos!$H$2:$I$21,2,0),"cat")</f>
        <v>cat</v>
      </c>
    </row>
    <row r="15" spans="2:11" x14ac:dyDescent="0.25">
      <c r="B15" t="str">
        <f>+Tabla1[[#This Row],[dimension_id]]&amp;"_"&amp;Tabla1[[#This Row],[subdimension_id]]&amp;"_"&amp;Tabla1[[#This Row],[categoria_id]]</f>
        <v>DI_DD_cat</v>
      </c>
      <c r="C15" s="1" t="s">
        <v>7</v>
      </c>
      <c r="D15" t="s">
        <v>14</v>
      </c>
      <c r="F15" t="s">
        <v>56</v>
      </c>
      <c r="G15" t="s">
        <v>57</v>
      </c>
      <c r="H15" t="str">
        <f>+"Dimensión: " &amp; Tabla1[[#This Row],[dimension]] &amp; " -- " &amp; "Subdimensión: " &amp; Tabla1[[#This Row],[subdimension]] &amp; " -- " &amp; "Categoría: " &amp; Tabla1[[#This Row],[categoria]] &amp; " -- " &amp; Tabla1[[#This Row],[recomendacion]]</f>
        <v>Dimensión: Didáctica inclusiva -- Subdimensión: Didáctica -- Categoría:  -- Asocie los constructos y contenidos teóricos con ejemplos cercanos a la vida de los estudiantes para que puedan ser transferidos a situaciones cotidianas.</v>
      </c>
      <c r="I15" t="str">
        <f>IFERROR(VLOOKUP(Tabla1[[#This Row],[dimension]],Datos!$B$2:$C$6,2,0),"dim")</f>
        <v>DI</v>
      </c>
      <c r="J15" t="str">
        <f>IFERROR(VLOOKUP(Tabla1[[#This Row],[subdimension]],Datos!$E$2:$F$20,2,0),"subdim")</f>
        <v>DD</v>
      </c>
      <c r="K15" t="str">
        <f>IFERROR(VLOOKUP(Tabla1[[#This Row],[categoria]],Datos!$H$2:$I$21,2,0),"cat")</f>
        <v>cat</v>
      </c>
    </row>
    <row r="16" spans="2:11" x14ac:dyDescent="0.25">
      <c r="B16" t="str">
        <f>+Tabla1[[#This Row],[dimension_id]]&amp;"_"&amp;Tabla1[[#This Row],[subdimension_id]]&amp;"_"&amp;Tabla1[[#This Row],[categoria_id]]</f>
        <v>DI_DD_cat</v>
      </c>
      <c r="C16" s="1" t="s">
        <v>7</v>
      </c>
      <c r="D16" t="s">
        <v>14</v>
      </c>
      <c r="F16" t="s">
        <v>58</v>
      </c>
      <c r="G16" t="s">
        <v>59</v>
      </c>
      <c r="H16" t="str">
        <f>+"Dimensión: " &amp; Tabla1[[#This Row],[dimension]] &amp; " -- " &amp; "Subdimensión: " &amp; Tabla1[[#This Row],[subdimension]] &amp; " -- " &amp; "Categoría: " &amp; Tabla1[[#This Row],[categoria]] &amp; " -- " &amp; Tabla1[[#This Row],[recomendacion]]</f>
        <v>Dimensión: Didáctica inclusiva -- Subdimensión: Didáctica -- Categoría:  -- Si mejora la comprensión del contenido por parte de los estudiantes, presente el contenido del REA en varios formatos (textos, gráficos, imágenes, etc.).</v>
      </c>
      <c r="I16" t="str">
        <f>IFERROR(VLOOKUP(Tabla1[[#This Row],[dimension]],Datos!$B$2:$C$6,2,0),"dim")</f>
        <v>DI</v>
      </c>
      <c r="J16" t="str">
        <f>IFERROR(VLOOKUP(Tabla1[[#This Row],[subdimension]],Datos!$E$2:$F$20,2,0),"subdim")</f>
        <v>DD</v>
      </c>
      <c r="K16" t="str">
        <f>IFERROR(VLOOKUP(Tabla1[[#This Row],[categoria]],Datos!$H$2:$I$21,2,0),"cat")</f>
        <v>cat</v>
      </c>
    </row>
    <row r="17" spans="2:11" x14ac:dyDescent="0.25">
      <c r="B17" t="str">
        <f>+Tabla1[[#This Row],[dimension_id]]&amp;"_"&amp;Tabla1[[#This Row],[subdimension_id]]&amp;"_"&amp;Tabla1[[#This Row],[categoria_id]]</f>
        <v>DI_DD_cat</v>
      </c>
      <c r="C17" s="1" t="s">
        <v>7</v>
      </c>
      <c r="D17" t="s">
        <v>14</v>
      </c>
      <c r="F17" t="s">
        <v>60</v>
      </c>
      <c r="G17" t="s">
        <v>61</v>
      </c>
      <c r="H17" t="str">
        <f>+"Dimensión: " &amp; Tabla1[[#This Row],[dimension]] &amp; " -- " &amp; "Subdimensión: " &amp; Tabla1[[#This Row],[subdimension]] &amp; " -- " &amp; "Categoría: " &amp; Tabla1[[#This Row],[categoria]] &amp; " -- " &amp; Tabla1[[#This Row],[recomendacion]]</f>
        <v>Dimensión: Didáctica inclusiva -- Subdimensión: Didáctica -- Categoría:  -- Personalice los REA según el entorno de vida de sus estudiantes.</v>
      </c>
      <c r="I17" t="str">
        <f>IFERROR(VLOOKUP(Tabla1[[#This Row],[dimension]],Datos!$B$2:$C$6,2,0),"dim")</f>
        <v>DI</v>
      </c>
      <c r="J17" t="str">
        <f>IFERROR(VLOOKUP(Tabla1[[#This Row],[subdimension]],Datos!$E$2:$F$20,2,0),"subdim")</f>
        <v>DD</v>
      </c>
      <c r="K17" t="str">
        <f>IFERROR(VLOOKUP(Tabla1[[#This Row],[categoria]],Datos!$H$2:$I$21,2,0),"cat")</f>
        <v>cat</v>
      </c>
    </row>
    <row r="18" spans="2:11" x14ac:dyDescent="0.25">
      <c r="B18" t="str">
        <f>+Tabla1[[#This Row],[dimension_id]]&amp;"_"&amp;Tabla1[[#This Row],[subdimension_id]]&amp;"_"&amp;Tabla1[[#This Row],[categoria_id]]</f>
        <v>DI_PA_cat</v>
      </c>
      <c r="C18" s="1" t="s">
        <v>7</v>
      </c>
      <c r="D18" t="s">
        <v>15</v>
      </c>
      <c r="F18" t="s">
        <v>62</v>
      </c>
      <c r="G18" t="s">
        <v>63</v>
      </c>
      <c r="H18" t="str">
        <f>+"Dimensión: " &amp; Tabla1[[#This Row],[dimension]] &amp; " -- " &amp; "Subdimensión: " &amp; Tabla1[[#This Row],[subdimension]] &amp; " -- " &amp; "Categoría: " &amp; Tabla1[[#This Row],[categoria]] &amp; " -- " &amp; Tabla1[[#This Row],[recomendacion]]</f>
        <v>Dimensión: Didáctica inclusiva -- Subdimensión: Participación -- Categoría:  -- Asegúrese de que las actividades de aprendizaje brinden oportunidades de interacción que respalden el aprendizaje activo.</v>
      </c>
      <c r="I18" t="str">
        <f>IFERROR(VLOOKUP(Tabla1[[#This Row],[dimension]],Datos!$B$2:$C$6,2,0),"dim")</f>
        <v>DI</v>
      </c>
      <c r="J18" t="str">
        <f>IFERROR(VLOOKUP(Tabla1[[#This Row],[subdimension]],Datos!$E$2:$F$20,2,0),"subdim")</f>
        <v>PA</v>
      </c>
      <c r="K18" t="str">
        <f>IFERROR(VLOOKUP(Tabla1[[#This Row],[categoria]],Datos!$H$2:$I$21,2,0),"cat")</f>
        <v>cat</v>
      </c>
    </row>
    <row r="19" spans="2:11" x14ac:dyDescent="0.25">
      <c r="B19" t="str">
        <f>+Tabla1[[#This Row],[dimension_id]]&amp;"_"&amp;Tabla1[[#This Row],[subdimension_id]]&amp;"_"&amp;Tabla1[[#This Row],[categoria_id]]</f>
        <v>DI_PA_cat</v>
      </c>
      <c r="C19" s="1" t="s">
        <v>7</v>
      </c>
      <c r="D19" t="s">
        <v>15</v>
      </c>
      <c r="F19" t="s">
        <v>64</v>
      </c>
      <c r="H19" t="str">
        <f>+"Dimensión: " &amp; Tabla1[[#This Row],[dimension]] &amp; " -- " &amp; "Subdimensión: " &amp; Tabla1[[#This Row],[subdimension]] &amp; " -- " &amp; "Categoría: " &amp; Tabla1[[#This Row],[categoria]] &amp; " -- " &amp; Tabla1[[#This Row],[recomendacion]]</f>
        <v>Dimensión: Didáctica inclusiva -- Subdimensión: Participación -- Categoría:  -- Cuando sea posible, cree o adapte los REA para promover el trabajo colaborativo.</v>
      </c>
      <c r="I19" t="str">
        <f>IFERROR(VLOOKUP(Tabla1[[#This Row],[dimension]],Datos!$B$2:$C$6,2,0),"dim")</f>
        <v>DI</v>
      </c>
      <c r="J19" t="str">
        <f>IFERROR(VLOOKUP(Tabla1[[#This Row],[subdimension]],Datos!$E$2:$F$20,2,0),"subdim")</f>
        <v>PA</v>
      </c>
      <c r="K19" t="str">
        <f>IFERROR(VLOOKUP(Tabla1[[#This Row],[categoria]],Datos!$H$2:$I$21,2,0),"cat")</f>
        <v>cat</v>
      </c>
    </row>
    <row r="20" spans="2:11" x14ac:dyDescent="0.25">
      <c r="B20" t="str">
        <f>+Tabla1[[#This Row],[dimension_id]]&amp;"_"&amp;Tabla1[[#This Row],[subdimension_id]]&amp;"_"&amp;Tabla1[[#This Row],[categoria_id]]</f>
        <v>DI_PA_cat</v>
      </c>
      <c r="C20" s="1" t="s">
        <v>7</v>
      </c>
      <c r="D20" t="s">
        <v>15</v>
      </c>
      <c r="F20" t="s">
        <v>65</v>
      </c>
      <c r="H20" t="str">
        <f>+"Dimensión: " &amp; Tabla1[[#This Row],[dimension]] &amp; " -- " &amp; "Subdimensión: " &amp; Tabla1[[#This Row],[subdimension]] &amp; " -- " &amp; "Categoría: " &amp; Tabla1[[#This Row],[categoria]] &amp; " -- " &amp; Tabla1[[#This Row],[recomendacion]]</f>
        <v>Dimensión: Didáctica inclusiva -- Subdimensión: Participación -- Categoría:  -- Asegúrese de que los REA faciliten la participación de todos los estudiantes, de acuerdo con sus capacidades y habilidades, creando oportunidades de aprendizaje para todos.</v>
      </c>
      <c r="I20" t="str">
        <f>IFERROR(VLOOKUP(Tabla1[[#This Row],[dimension]],Datos!$B$2:$C$6,2,0),"dim")</f>
        <v>DI</v>
      </c>
      <c r="J20" t="str">
        <f>IFERROR(VLOOKUP(Tabla1[[#This Row],[subdimension]],Datos!$E$2:$F$20,2,0),"subdim")</f>
        <v>PA</v>
      </c>
      <c r="K20" t="str">
        <f>IFERROR(VLOOKUP(Tabla1[[#This Row],[categoria]],Datos!$H$2:$I$21,2,0),"cat")</f>
        <v>cat</v>
      </c>
    </row>
    <row r="21" spans="2:11" x14ac:dyDescent="0.25">
      <c r="B21" t="str">
        <f>+Tabla1[[#This Row],[dimension_id]]&amp;"_"&amp;Tabla1[[#This Row],[subdimension_id]]&amp;"_"&amp;Tabla1[[#This Row],[categoria_id]]</f>
        <v>DI_PA_cat</v>
      </c>
      <c r="C21" s="1" t="s">
        <v>7</v>
      </c>
      <c r="D21" t="s">
        <v>15</v>
      </c>
      <c r="F21" t="s">
        <v>66</v>
      </c>
      <c r="H21" t="str">
        <f>+"Dimensión: " &amp; Tabla1[[#This Row],[dimension]] &amp; " -- " &amp; "Subdimensión: " &amp; Tabla1[[#This Row],[subdimension]] &amp; " -- " &amp; "Categoría: " &amp; Tabla1[[#This Row],[categoria]] &amp; " -- " &amp; Tabla1[[#This Row],[recomendacion]]</f>
        <v>Dimensión: Didáctica inclusiva -- Subdimensión: Participación -- Categoría:  -- Al planificar actividades de grupo, considere cómo la composición del grupo (más heterogénea o más homogénea) puede permitir el mejor resultado de aprendizaje posible para todos los estudiantes, teniendo en cuenta las competencias académicas y sociales de todos los estudiantes.</v>
      </c>
      <c r="I21" t="str">
        <f>IFERROR(VLOOKUP(Tabla1[[#This Row],[dimension]],Datos!$B$2:$C$6,2,0),"dim")</f>
        <v>DI</v>
      </c>
      <c r="J21" t="str">
        <f>IFERROR(VLOOKUP(Tabla1[[#This Row],[subdimension]],Datos!$E$2:$F$20,2,0),"subdim")</f>
        <v>PA</v>
      </c>
      <c r="K21" t="str">
        <f>IFERROR(VLOOKUP(Tabla1[[#This Row],[categoria]],Datos!$H$2:$I$21,2,0),"cat")</f>
        <v>cat</v>
      </c>
    </row>
    <row r="22" spans="2:11" x14ac:dyDescent="0.25">
      <c r="B22" t="str">
        <f>+Tabla1[[#This Row],[dimension_id]]&amp;"_"&amp;Tabla1[[#This Row],[subdimension_id]]&amp;"_"&amp;Tabla1[[#This Row],[categoria_id]]</f>
        <v>DI_RP_cat</v>
      </c>
      <c r="C22" s="1" t="s">
        <v>7</v>
      </c>
      <c r="D22" t="s">
        <v>16</v>
      </c>
      <c r="F22" t="s">
        <v>67</v>
      </c>
      <c r="G22" t="s">
        <v>68</v>
      </c>
      <c r="H22" t="str">
        <f>+"Dimensión: " &amp; Tabla1[[#This Row],[dimension]] &amp; " -- " &amp; "Subdimensión: " &amp; Tabla1[[#This Row],[subdimension]] &amp; " -- " &amp; "Categoría: " &amp; Tabla1[[#This Row],[categoria]] &amp; " -- " &amp; Tabla1[[#This Row],[recomendacion]]</f>
        <v>Dimensión: Didáctica inclusiva -- Subdimensión: Relevancia práctica -- Categoría:  -- Cree o utilice REA que también apoyen la adquisición de habilidades blandas, como la cooperación, la toma de decisiones, la resolución de problemas, el pensamiento crítico, el respeto, la comunicación no violenta, el manejo de las emociones y el estrés.</v>
      </c>
      <c r="I22" t="str">
        <f>IFERROR(VLOOKUP(Tabla1[[#This Row],[dimension]],Datos!$B$2:$C$6,2,0),"dim")</f>
        <v>DI</v>
      </c>
      <c r="J22" t="str">
        <f>IFERROR(VLOOKUP(Tabla1[[#This Row],[subdimension]],Datos!$E$2:$F$20,2,0),"subdim")</f>
        <v>RP</v>
      </c>
      <c r="K22" t="str">
        <f>IFERROR(VLOOKUP(Tabla1[[#This Row],[categoria]],Datos!$H$2:$I$21,2,0),"cat")</f>
        <v>cat</v>
      </c>
    </row>
    <row r="23" spans="2:11" x14ac:dyDescent="0.25">
      <c r="B23" t="str">
        <f>+Tabla1[[#This Row],[dimension_id]]&amp;"_"&amp;Tabla1[[#This Row],[subdimension_id]]&amp;"_"&amp;Tabla1[[#This Row],[categoria_id]]</f>
        <v>DI_RR_cat</v>
      </c>
      <c r="C23" s="1" t="s">
        <v>7</v>
      </c>
      <c r="D23" t="s">
        <v>17</v>
      </c>
      <c r="F23" t="s">
        <v>69</v>
      </c>
      <c r="H23" t="str">
        <f>+"Dimensión: " &amp; Tabla1[[#This Row],[dimension]] &amp; " -- " &amp; "Subdimensión: " &amp; Tabla1[[#This Row],[subdimension]] &amp; " -- " &amp; "Categoría: " &amp; Tabla1[[#This Row],[categoria]] &amp; " -- " &amp; Tabla1[[#This Row],[recomendacion]]</f>
        <v>Dimensión: Didáctica inclusiva -- Subdimensión: Relevancia en la vida real -- Categoría:  -- Cuando sea posible, cree o utilice REA que promuevan estilos de vida saludables, como la nutrición, la salud mental y la higiene del sueño.</v>
      </c>
      <c r="I23" t="str">
        <f>IFERROR(VLOOKUP(Tabla1[[#This Row],[dimension]],Datos!$B$2:$C$6,2,0),"dim")</f>
        <v>DI</v>
      </c>
      <c r="J23" t="str">
        <f>IFERROR(VLOOKUP(Tabla1[[#This Row],[subdimension]],Datos!$E$2:$F$20,2,0),"subdim")</f>
        <v>RR</v>
      </c>
      <c r="K23" t="str">
        <f>IFERROR(VLOOKUP(Tabla1[[#This Row],[categoria]],Datos!$H$2:$I$21,2,0),"cat")</f>
        <v>cat</v>
      </c>
    </row>
    <row r="24" spans="2:11" x14ac:dyDescent="0.25">
      <c r="B24" t="str">
        <f>+Tabla1[[#This Row],[dimension_id]]&amp;"_"&amp;Tabla1[[#This Row],[subdimension_id]]&amp;"_"&amp;Tabla1[[#This Row],[categoria_id]]</f>
        <v>DI_MO_cat</v>
      </c>
      <c r="C24" s="1" t="s">
        <v>7</v>
      </c>
      <c r="D24" t="s">
        <v>18</v>
      </c>
      <c r="F24" t="s">
        <v>70</v>
      </c>
      <c r="H24" t="str">
        <f>+"Dimensión: " &amp; Tabla1[[#This Row],[dimension]] &amp; " -- " &amp; "Subdimensión: " &amp; Tabla1[[#This Row],[subdimension]] &amp; " -- " &amp; "Categoría: " &amp; Tabla1[[#This Row],[categoria]] &amp; " -- " &amp; Tabla1[[#This Row],[recomendacion]]</f>
        <v>Dimensión: Didáctica inclusiva -- Subdimensión: Motivación -- Categoría:  -- Asegúrese de que el REA sea atractivo, interesante y llamativo, ya que puede tener un impacto positivo en la motivación de los estudiantes.</v>
      </c>
      <c r="I24" t="str">
        <f>IFERROR(VLOOKUP(Tabla1[[#This Row],[dimension]],Datos!$B$2:$C$6,2,0),"dim")</f>
        <v>DI</v>
      </c>
      <c r="J24" t="str">
        <f>IFERROR(VLOOKUP(Tabla1[[#This Row],[subdimension]],Datos!$E$2:$F$20,2,0),"subdim")</f>
        <v>MO</v>
      </c>
      <c r="K24" t="str">
        <f>IFERROR(VLOOKUP(Tabla1[[#This Row],[categoria]],Datos!$H$2:$I$21,2,0),"cat")</f>
        <v>cat</v>
      </c>
    </row>
    <row r="25" spans="2:11" x14ac:dyDescent="0.25">
      <c r="B25" t="str">
        <f>+Tabla1[[#This Row],[dimension_id]]&amp;"_"&amp;Tabla1[[#This Row],[subdimension_id]]&amp;"_"&amp;Tabla1[[#This Row],[categoria_id]]</f>
        <v>DI_MO_cat</v>
      </c>
      <c r="C25" s="1" t="s">
        <v>7</v>
      </c>
      <c r="D25" t="s">
        <v>18</v>
      </c>
      <c r="F25" t="s">
        <v>71</v>
      </c>
      <c r="G25" t="s">
        <v>72</v>
      </c>
      <c r="H25" t="str">
        <f>+"Dimensión: " &amp; Tabla1[[#This Row],[dimension]] &amp; " -- " &amp; "Subdimensión: " &amp; Tabla1[[#This Row],[subdimension]] &amp; " -- " &amp; "Categoría: " &amp; Tabla1[[#This Row],[categoria]] &amp; " -- " &amp; Tabla1[[#This Row],[recomendacion]]</f>
        <v>Dimensión: Didáctica inclusiva -- Subdimensión: Motivación -- Categoría:  -- Asegúrese de que los REA capten y mantengan la atención y el interés de los estudiantes.</v>
      </c>
      <c r="I25" t="str">
        <f>IFERROR(VLOOKUP(Tabla1[[#This Row],[dimension]],Datos!$B$2:$C$6,2,0),"dim")</f>
        <v>DI</v>
      </c>
      <c r="J25" t="str">
        <f>IFERROR(VLOOKUP(Tabla1[[#This Row],[subdimension]],Datos!$E$2:$F$20,2,0),"subdim")</f>
        <v>MO</v>
      </c>
      <c r="K25" t="str">
        <f>IFERROR(VLOOKUP(Tabla1[[#This Row],[categoria]],Datos!$H$2:$I$21,2,0),"cat")</f>
        <v>cat</v>
      </c>
    </row>
    <row r="26" spans="2:11" x14ac:dyDescent="0.25">
      <c r="B26" t="str">
        <f>+Tabla1[[#This Row],[dimension_id]]&amp;"_"&amp;Tabla1[[#This Row],[subdimension_id]]&amp;"_"&amp;Tabla1[[#This Row],[categoria_id]]</f>
        <v>DI_EF_cat</v>
      </c>
      <c r="C26" s="1" t="s">
        <v>7</v>
      </c>
      <c r="D26" t="s">
        <v>9</v>
      </c>
      <c r="F26" t="s">
        <v>73</v>
      </c>
      <c r="G26" t="s">
        <v>74</v>
      </c>
      <c r="H26" t="str">
        <f>+"Dimensión: " &amp; Tabla1[[#This Row],[dimension]] &amp; " -- " &amp; "Subdimensión: " &amp; Tabla1[[#This Row],[subdimension]] &amp; " -- " &amp; "Categoría: " &amp; Tabla1[[#This Row],[categoria]] &amp; " -- " &amp; Tabla1[[#This Row],[recomendacion]]</f>
        <v>Dimensión: Didáctica inclusiva -- Subdimensión: Evaluación formativa -- Categoría:  -- Incluya observación formativa y evaluación sumativa para asegurarse de poder seguir el proceso de aprendizaje de los estudiantes.</v>
      </c>
      <c r="I26" t="str">
        <f>IFERROR(VLOOKUP(Tabla1[[#This Row],[dimension]],Datos!$B$2:$C$6,2,0),"dim")</f>
        <v>DI</v>
      </c>
      <c r="J26" t="str">
        <f>IFERROR(VLOOKUP(Tabla1[[#This Row],[subdimension]],Datos!$E$2:$F$20,2,0),"subdim")</f>
        <v>EF</v>
      </c>
      <c r="K26" s="1" t="str">
        <f>IFERROR(VLOOKUP(Tabla1[[#This Row],[categoria]],Datos!$H$2:$I$21,2,0),"cat")</f>
        <v>cat</v>
      </c>
    </row>
    <row r="27" spans="2:11" x14ac:dyDescent="0.25">
      <c r="B27" t="str">
        <f>+Tabla1[[#This Row],[dimension_id]]&amp;"_"&amp;Tabla1[[#This Row],[subdimension_id]]&amp;"_"&amp;Tabla1[[#This Row],[categoria_id]]</f>
        <v>TT_subdim_AP</v>
      </c>
      <c r="C27" s="2" t="s">
        <v>19</v>
      </c>
      <c r="E27" t="s">
        <v>20</v>
      </c>
      <c r="F27" t="s">
        <v>75</v>
      </c>
      <c r="H27" t="str">
        <f>+"Dimensión: " &amp; Tabla1[[#This Row],[dimension]] &amp; " -- " &amp; "Subdimensión: " &amp; Tabla1[[#This Row],[subdimension]] &amp; " -- " &amp; "Categoría: " &amp; Tabla1[[#This Row],[categoria]] &amp; " -- " &amp; Tabla1[[#This Row],[recomendacion]]</f>
        <v>Dimensión: Dimensión técnica y tecnológica -- Subdimensión:  -- Categoría: Aprendizaje personalizado -- Valora si las herramientas tecnológicas empleadas en el REA facilitan la consecución de los objetivos de aprendizaje marcados.</v>
      </c>
      <c r="I27" t="str">
        <f>IFERROR(VLOOKUP(Tabla1[[#This Row],[dimension]],Datos!$B$2:$C$6,2,0),"dim")</f>
        <v>TT</v>
      </c>
      <c r="J27" t="str">
        <f>IFERROR(VLOOKUP(Tabla1[[#This Row],[subdimension]],Datos!$E$2:$F$20,2,0),"subdim")</f>
        <v>subdim</v>
      </c>
      <c r="K27" s="1" t="str">
        <f>IFERROR(VLOOKUP(Tabla1[[#This Row],[categoria]],Datos!$H$2:$I$21,2,0),"cat")</f>
        <v>AP</v>
      </c>
    </row>
    <row r="28" spans="2:11" x14ac:dyDescent="0.25">
      <c r="B28" t="str">
        <f>+Tabla1[[#This Row],[dimension_id]]&amp;"_"&amp;Tabla1[[#This Row],[subdimension_id]]&amp;"_"&amp;Tabla1[[#This Row],[categoria_id]]</f>
        <v>TT_subdim_AP</v>
      </c>
      <c r="C28" s="2" t="s">
        <v>19</v>
      </c>
      <c r="E28" t="s">
        <v>20</v>
      </c>
      <c r="F28" t="s">
        <v>76</v>
      </c>
      <c r="G28" t="s">
        <v>77</v>
      </c>
      <c r="H28" t="str">
        <f>+"Dimensión: " &amp; Tabla1[[#This Row],[dimension]] &amp; " -- " &amp; "Subdimensión: " &amp; Tabla1[[#This Row],[subdimension]] &amp; " -- " &amp; "Categoría: " &amp; Tabla1[[#This Row],[categoria]] &amp; " -- " &amp; Tabla1[[#This Row],[recomendacion]]</f>
        <v>Dimensión: Dimensión técnica y tecnológica -- Subdimensión:  -- Categoría: Aprendizaje personalizado -- Asegúrate de que las herramientas tecnológicas y recursos empleados en los REA fomentan la participación del alumnado y el aprendizaje activo.</v>
      </c>
      <c r="I28" t="str">
        <f>IFERROR(VLOOKUP(Tabla1[[#This Row],[dimension]],Datos!$B$2:$C$6,2,0),"dim")</f>
        <v>TT</v>
      </c>
      <c r="J28" t="str">
        <f>IFERROR(VLOOKUP(Tabla1[[#This Row],[subdimension]],Datos!$E$2:$F$20,2,0),"subdim")</f>
        <v>subdim</v>
      </c>
      <c r="K28" t="str">
        <f>IFERROR(VLOOKUP(Tabla1[[#This Row],[categoria]],Datos!$H$2:$I$21,2,0),"cat")</f>
        <v>AP</v>
      </c>
    </row>
    <row r="29" spans="2:11" x14ac:dyDescent="0.25">
      <c r="B29" t="str">
        <f>+Tabla1[[#This Row],[dimension_id]]&amp;"_"&amp;Tabla1[[#This Row],[subdimension_id]]&amp;"_"&amp;Tabla1[[#This Row],[categoria_id]]</f>
        <v>TT_subdim_AP</v>
      </c>
      <c r="C29" s="2" t="s">
        <v>19</v>
      </c>
      <c r="E29" t="s">
        <v>20</v>
      </c>
      <c r="F29" t="s">
        <v>78</v>
      </c>
      <c r="G29" t="s">
        <v>79</v>
      </c>
      <c r="H29" t="str">
        <f>+"Dimensión: " &amp; Tabla1[[#This Row],[dimension]] &amp; " -- " &amp; "Subdimensión: " &amp; Tabla1[[#This Row],[subdimension]] &amp; " -- " &amp; "Categoría: " &amp; Tabla1[[#This Row],[categoria]] &amp; " -- " &amp; Tabla1[[#This Row],[recomendacion]]</f>
        <v xml:space="preserve">Dimensión: Dimensión técnica y tecnológica -- Subdimensión:  -- Categoría: Aprendizaje personalizado -- Comprueba que todo el alumnado tenga acceso a los medios tecnológicos requeridos para consultar el REA. </v>
      </c>
      <c r="I29" t="str">
        <f>IFERROR(VLOOKUP(Tabla1[[#This Row],[dimension]],Datos!$B$2:$C$6,2,0),"dim")</f>
        <v>TT</v>
      </c>
      <c r="J29" t="str">
        <f>IFERROR(VLOOKUP(Tabla1[[#This Row],[subdimension]],Datos!$E$2:$F$20,2,0),"subdim")</f>
        <v>subdim</v>
      </c>
      <c r="K29" t="str">
        <f>IFERROR(VLOOKUP(Tabla1[[#This Row],[categoria]],Datos!$H$2:$I$21,2,0),"cat")</f>
        <v>AP</v>
      </c>
    </row>
    <row r="30" spans="2:11" x14ac:dyDescent="0.25">
      <c r="B30" t="str">
        <f>+Tabla1[[#This Row],[dimension_id]]&amp;"_"&amp;Tabla1[[#This Row],[subdimension_id]]&amp;"_"&amp;Tabla1[[#This Row],[categoria_id]]</f>
        <v>TT_subdim_AP</v>
      </c>
      <c r="C30" s="2" t="s">
        <v>19</v>
      </c>
      <c r="E30" t="s">
        <v>20</v>
      </c>
      <c r="F30" t="s">
        <v>80</v>
      </c>
      <c r="G30" t="s">
        <v>81</v>
      </c>
      <c r="H30" t="str">
        <f>+"Dimensión: " &amp; Tabla1[[#This Row],[dimension]] &amp; " -- " &amp; "Subdimensión: " &amp; Tabla1[[#This Row],[subdimension]] &amp; " -- " &amp; "Categoría: " &amp; Tabla1[[#This Row],[categoria]] &amp; " -- " &amp; Tabla1[[#This Row],[recomendacion]]</f>
        <v>Dimensión: Dimensión técnica y tecnológica -- Subdimensión:  -- Categoría: Aprendizaje personalizado -- Garantiza que los estudiantes con necesidades especiales también tengan acceso a los medios tecnológicos requeridos para usar el REA.</v>
      </c>
      <c r="I30" t="str">
        <f>IFERROR(VLOOKUP(Tabla1[[#This Row],[dimension]],Datos!$B$2:$C$6,2,0),"dim")</f>
        <v>TT</v>
      </c>
      <c r="J30" t="str">
        <f>IFERROR(VLOOKUP(Tabla1[[#This Row],[subdimension]],Datos!$E$2:$F$20,2,0),"subdim")</f>
        <v>subdim</v>
      </c>
      <c r="K30" t="str">
        <f>IFERROR(VLOOKUP(Tabla1[[#This Row],[categoria]],Datos!$H$2:$I$21,2,0),"cat")</f>
        <v>AP</v>
      </c>
    </row>
    <row r="31" spans="2:11" x14ac:dyDescent="0.25">
      <c r="B31" t="str">
        <f>+Tabla1[[#This Row],[dimension_id]]&amp;"_"&amp;Tabla1[[#This Row],[subdimension_id]]&amp;"_"&amp;Tabla1[[#This Row],[categoria_id]]</f>
        <v>TT_subdim_ADP</v>
      </c>
      <c r="C31" s="2" t="s">
        <v>19</v>
      </c>
      <c r="E31" t="s">
        <v>21</v>
      </c>
      <c r="F31" t="s">
        <v>83</v>
      </c>
      <c r="G31" t="s">
        <v>82</v>
      </c>
      <c r="H31" t="str">
        <f>+"Dimensión: " &amp; Tabla1[[#This Row],[dimension]] &amp; " -- " &amp; "Subdimensión: " &amp; Tabla1[[#This Row],[subdimension]] &amp; " -- " &amp; "Categoría: " &amp; Tabla1[[#This Row],[categoria]] &amp; " -- " &amp; Tabla1[[#This Row],[recomendacion]]</f>
        <v>Dimensión: Dimensión técnica y tecnológica -- Subdimensión:  -- Categoría: Adaptabilidad -- Diseña REA que se puedan utilizar en diferentes contextos educativos: en clase, en ordenadores o en otros dispositivos (como tabletas o pizarras electrónicas), sistemas de e-learning, etc. Asegúrate de que el REA pueda ser modificado, actualizado o adaptado en función de los intereses y necesidades del alumnado.</v>
      </c>
      <c r="I31" t="str">
        <f>IFERROR(VLOOKUP(Tabla1[[#This Row],[dimension]],Datos!$B$2:$C$6,2,0),"dim")</f>
        <v>TT</v>
      </c>
      <c r="J31" t="str">
        <f>IFERROR(VLOOKUP(Tabla1[[#This Row],[subdimension]],Datos!$E$2:$F$20,2,0),"subdim")</f>
        <v>subdim</v>
      </c>
      <c r="K31" t="str">
        <f>IFERROR(VLOOKUP(Tabla1[[#This Row],[categoria]],Datos!$H$2:$I$21,2,0),"cat")</f>
        <v>ADP</v>
      </c>
    </row>
    <row r="32" spans="2:11" x14ac:dyDescent="0.25">
      <c r="B32" t="str">
        <f>+Tabla1[[#This Row],[dimension_id]]&amp;"_"&amp;Tabla1[[#This Row],[subdimension_id]]&amp;"_"&amp;Tabla1[[#This Row],[categoria_id]]</f>
        <v>TT_subdim_SEG</v>
      </c>
      <c r="C32" s="2" t="s">
        <v>19</v>
      </c>
      <c r="E32" t="s">
        <v>22</v>
      </c>
      <c r="F32" t="s">
        <v>84</v>
      </c>
      <c r="G32" t="s">
        <v>85</v>
      </c>
      <c r="H32" t="str">
        <f>+"Dimensión: " &amp; Tabla1[[#This Row],[dimension]] &amp; " -- " &amp; "Subdimensión: " &amp; Tabla1[[#This Row],[subdimension]] &amp; " -- " &amp; "Categoría: " &amp; Tabla1[[#This Row],[categoria]] &amp; " -- " &amp; Tabla1[[#This Row],[recomendacion]]</f>
        <v>Dimensión: Dimensión técnica y tecnológica -- Subdimensión:  -- Categoría: Seguridad -- Desarrolla el REA teniendo en cuenta todas las medidas posibles para garantizar la seguridad, la integridad y validez de la información.</v>
      </c>
      <c r="I32" t="str">
        <f>IFERROR(VLOOKUP(Tabla1[[#This Row],[dimension]],Datos!$B$2:$C$6,2,0),"dim")</f>
        <v>TT</v>
      </c>
      <c r="J32" t="str">
        <f>IFERROR(VLOOKUP(Tabla1[[#This Row],[subdimension]],Datos!$E$2:$F$20,2,0),"subdim")</f>
        <v>subdim</v>
      </c>
      <c r="K32" t="str">
        <f>IFERROR(VLOOKUP(Tabla1[[#This Row],[categoria]],Datos!$H$2:$I$21,2,0),"cat")</f>
        <v>SEG</v>
      </c>
    </row>
    <row r="33" spans="2:11" x14ac:dyDescent="0.25">
      <c r="B33" t="str">
        <f>+Tabla1[[#This Row],[dimension_id]]&amp;"_"&amp;Tabla1[[#This Row],[subdimension_id]]&amp;"_"&amp;Tabla1[[#This Row],[categoria_id]]</f>
        <v>TT_subdim_AYU</v>
      </c>
      <c r="C33" s="2" t="s">
        <v>19</v>
      </c>
      <c r="E33" t="s">
        <v>23</v>
      </c>
      <c r="F33" t="s">
        <v>86</v>
      </c>
      <c r="G33" t="s">
        <v>87</v>
      </c>
      <c r="H33" t="str">
        <f>+"Dimensión: " &amp; Tabla1[[#This Row],[dimension]] &amp; " -- " &amp; "Subdimensión: " &amp; Tabla1[[#This Row],[subdimension]] &amp; " -- " &amp; "Categoría: " &amp; Tabla1[[#This Row],[categoria]] &amp; " -- " &amp; Tabla1[[#This Row],[recomendacion]]</f>
        <v>Dimensión: Dimensión técnica y tecnológica -- Subdimensión:  -- Categoría: Ayuda -- Garantiza la disponibilidad de enlaces o explicaciones sobre asistencia técnica en el REA.</v>
      </c>
      <c r="I33" t="str">
        <f>IFERROR(VLOOKUP(Tabla1[[#This Row],[dimension]],Datos!$B$2:$C$6,2,0),"dim")</f>
        <v>TT</v>
      </c>
      <c r="J33" t="str">
        <f>IFERROR(VLOOKUP(Tabla1[[#This Row],[subdimension]],Datos!$E$2:$F$20,2,0),"subdim")</f>
        <v>subdim</v>
      </c>
      <c r="K33" t="str">
        <f>IFERROR(VLOOKUP(Tabla1[[#This Row],[categoria]],Datos!$H$2:$I$21,2,0),"cat")</f>
        <v>AYU</v>
      </c>
    </row>
    <row r="34" spans="2:11" x14ac:dyDescent="0.25">
      <c r="B34" t="str">
        <f>+Tabla1[[#This Row],[dimension_id]]&amp;"_"&amp;Tabla1[[#This Row],[subdimension_id]]&amp;"_"&amp;Tabla1[[#This Row],[categoria_id]]</f>
        <v>TT_subdim_AYU</v>
      </c>
      <c r="C34" s="2" t="s">
        <v>19</v>
      </c>
      <c r="E34" t="s">
        <v>23</v>
      </c>
      <c r="F34" t="s">
        <v>88</v>
      </c>
      <c r="G34" t="s">
        <v>89</v>
      </c>
      <c r="H34" t="str">
        <f>+"Dimensión: " &amp; Tabla1[[#This Row],[dimension]] &amp; " -- " &amp; "Subdimensión: " &amp; Tabla1[[#This Row],[subdimension]] &amp; " -- " &amp; "Categoría: " &amp; Tabla1[[#This Row],[categoria]] &amp; " -- " &amp; Tabla1[[#This Row],[recomendacion]]</f>
        <v>Dimensión: Dimensión técnica y tecnológica -- Subdimensión:  -- Categoría: Ayuda -- Comprueba la disponibilidad de funciones de ayuda que identifiquen los problemas más comunes de los usuarios y sus soluciones.</v>
      </c>
      <c r="I34" t="str">
        <f>IFERROR(VLOOKUP(Tabla1[[#This Row],[dimension]],Datos!$B$2:$C$6,2,0),"dim")</f>
        <v>TT</v>
      </c>
      <c r="J34" t="str">
        <f>IFERROR(VLOOKUP(Tabla1[[#This Row],[subdimension]],Datos!$E$2:$F$20,2,0),"subdim")</f>
        <v>subdim</v>
      </c>
      <c r="K34" t="str">
        <f>IFERROR(VLOOKUP(Tabla1[[#This Row],[categoria]],Datos!$H$2:$I$21,2,0),"cat")</f>
        <v>AYU</v>
      </c>
    </row>
    <row r="35" spans="2:11" x14ac:dyDescent="0.25">
      <c r="B35" t="str">
        <f>+Tabla1[[#This Row],[dimension_id]]&amp;"_"&amp;Tabla1[[#This Row],[subdimension_id]]&amp;"_"&amp;Tabla1[[#This Row],[categoria_id]]</f>
        <v>TT_US_DIS</v>
      </c>
      <c r="C35" s="2" t="s">
        <v>19</v>
      </c>
      <c r="D35" t="s">
        <v>24</v>
      </c>
      <c r="E35" t="s">
        <v>27</v>
      </c>
      <c r="F35" t="s">
        <v>90</v>
      </c>
      <c r="G35" t="s">
        <v>93</v>
      </c>
      <c r="H35"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Diseño -- Garantiza que el diseño visual de la interfaz de usuario sea claro y coherente para facilitar el aprendizaje. Evita el ruido visual y la sobrecarga de información.</v>
      </c>
      <c r="I35" t="str">
        <f>IFERROR(VLOOKUP(Tabla1[[#This Row],[dimension]],Datos!$B$2:$C$6,2,0),"dim")</f>
        <v>TT</v>
      </c>
      <c r="J35" t="str">
        <f>IFERROR(VLOOKUP(Tabla1[[#This Row],[subdimension]],Datos!$E$2:$F$20,2,0),"subdim")</f>
        <v>US</v>
      </c>
      <c r="K35" t="str">
        <f>IFERROR(VLOOKUP(Tabla1[[#This Row],[categoria]],Datos!$H$2:$I$21,2,0),"cat")</f>
        <v>DIS</v>
      </c>
    </row>
    <row r="36" spans="2:11" x14ac:dyDescent="0.25">
      <c r="B36" t="str">
        <f>+Tabla1[[#This Row],[dimension_id]]&amp;"_"&amp;Tabla1[[#This Row],[subdimension_id]]&amp;"_"&amp;Tabla1[[#This Row],[categoria_id]]</f>
        <v>TT_US_DIS</v>
      </c>
      <c r="C36" s="2" t="s">
        <v>19</v>
      </c>
      <c r="D36" t="s">
        <v>24</v>
      </c>
      <c r="E36" t="s">
        <v>27</v>
      </c>
      <c r="F36" t="s">
        <v>91</v>
      </c>
      <c r="G36" t="s">
        <v>92</v>
      </c>
      <c r="H36"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Diseño -- Asegúrate de que el diseño del REA sea intuitivo.</v>
      </c>
      <c r="I36" t="str">
        <f>IFERROR(VLOOKUP(Tabla1[[#This Row],[dimension]],Datos!$B$2:$C$6,2,0),"dim")</f>
        <v>TT</v>
      </c>
      <c r="J36" t="str">
        <f>IFERROR(VLOOKUP(Tabla1[[#This Row],[subdimension]],Datos!$E$2:$F$20,2,0),"subdim")</f>
        <v>US</v>
      </c>
      <c r="K36" s="1" t="str">
        <f>IFERROR(VLOOKUP(Tabla1[[#This Row],[categoria]],Datos!$H$2:$I$21,2,0),"cat")</f>
        <v>DIS</v>
      </c>
    </row>
    <row r="37" spans="2:11" x14ac:dyDescent="0.25">
      <c r="B37" t="str">
        <f>+Tabla1[[#This Row],[dimension_id]]&amp;"_"&amp;Tabla1[[#This Row],[subdimension_id]]&amp;"_"&amp;Tabla1[[#This Row],[categoria_id]]</f>
        <v>TT_US_PER</v>
      </c>
      <c r="C37" s="2" t="s">
        <v>19</v>
      </c>
      <c r="D37" t="s">
        <v>24</v>
      </c>
      <c r="E37" t="s">
        <v>28</v>
      </c>
      <c r="F37" t="s">
        <v>94</v>
      </c>
      <c r="G37" t="s">
        <v>98</v>
      </c>
      <c r="H37"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Personalización -- Comprueba que el usuario pueda personalizar la interfaz (p. ej., cambiar el color de fondo o aumentar el contraste) para mejorar la legibilidad y la usabilidad del REA.</v>
      </c>
      <c r="I37" t="str">
        <f>IFERROR(VLOOKUP(Tabla1[[#This Row],[dimension]],Datos!$B$2:$C$6,2,0),"dim")</f>
        <v>TT</v>
      </c>
      <c r="J37" t="str">
        <f>IFERROR(VLOOKUP(Tabla1[[#This Row],[subdimension]],Datos!$E$2:$F$20,2,0),"subdim")</f>
        <v>US</v>
      </c>
      <c r="K37" t="str">
        <f>IFERROR(VLOOKUP(Tabla1[[#This Row],[categoria]],Datos!$H$2:$I$21,2,0),"cat")</f>
        <v>PER</v>
      </c>
    </row>
    <row r="38" spans="2:11" x14ac:dyDescent="0.25">
      <c r="B38" t="str">
        <f>+Tabla1[[#This Row],[dimension_id]]&amp;"_"&amp;Tabla1[[#This Row],[subdimension_id]]&amp;"_"&amp;Tabla1[[#This Row],[categoria_id]]</f>
        <v>TT_US_FUE</v>
      </c>
      <c r="C38" s="2" t="s">
        <v>19</v>
      </c>
      <c r="D38" t="s">
        <v>24</v>
      </c>
      <c r="E38" t="s">
        <v>29</v>
      </c>
      <c r="F38" t="s">
        <v>95</v>
      </c>
      <c r="G38" t="s">
        <v>99</v>
      </c>
      <c r="H38"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Fuente -- Revisa que las fuentes empleadas sean legibles y visualmente atractivas o facilita que el usuario cambie el tipo de fuente, el color y el tamaño.</v>
      </c>
      <c r="I38" t="str">
        <f>IFERROR(VLOOKUP(Tabla1[[#This Row],[dimension]],Datos!$B$2:$C$6,2,0),"dim")</f>
        <v>TT</v>
      </c>
      <c r="J38" t="str">
        <f>IFERROR(VLOOKUP(Tabla1[[#This Row],[subdimension]],Datos!$E$2:$F$20,2,0),"subdim")</f>
        <v>US</v>
      </c>
      <c r="K38" t="str">
        <f>IFERROR(VLOOKUP(Tabla1[[#This Row],[categoria]],Datos!$H$2:$I$21,2,0),"cat")</f>
        <v>FUE</v>
      </c>
    </row>
    <row r="39" spans="2:11" x14ac:dyDescent="0.25">
      <c r="B39" t="str">
        <f>+Tabla1[[#This Row],[dimension_id]]&amp;"_"&amp;Tabla1[[#This Row],[subdimension_id]]&amp;"_"&amp;Tabla1[[#This Row],[categoria_id]]</f>
        <v>TT_US_DIS</v>
      </c>
      <c r="C39" s="2" t="s">
        <v>19</v>
      </c>
      <c r="D39" t="s">
        <v>24</v>
      </c>
      <c r="E39" t="s">
        <v>30</v>
      </c>
      <c r="F39" t="s">
        <v>96</v>
      </c>
      <c r="G39" t="s">
        <v>97</v>
      </c>
      <c r="H39" t="str">
        <f>+"Dimensión: " &amp; Tabla1[[#This Row],[dimension]] &amp; " -- " &amp; "Subdimensión: " &amp; Tabla1[[#This Row],[subdimension]] &amp; " -- " &amp; "Categoría: " &amp; Tabla1[[#This Row],[categoria]] &amp; " -- " &amp; Tabla1[[#This Row],[recomendacion]]</f>
        <v xml:space="preserve">Dimensión: Dimensión técnica y tecnológica -- Subdimensión: Usabilidad -- Categoría: Diseño y formato -- Verifica que el diseño de la interfaz refleje la información correctamente jerarquizada. </v>
      </c>
      <c r="I39" t="str">
        <f>IFERROR(VLOOKUP(Tabla1[[#This Row],[dimension]],Datos!$B$2:$C$6,2,0),"dim")</f>
        <v>TT</v>
      </c>
      <c r="J39" t="str">
        <f>IFERROR(VLOOKUP(Tabla1[[#This Row],[subdimension]],Datos!$E$2:$F$20,2,0),"subdim")</f>
        <v>US</v>
      </c>
      <c r="K39" t="str">
        <f>IFERROR(VLOOKUP(Tabla1[[#This Row],[categoria]],Datos!$H$2:$I$21,2,0),"cat")</f>
        <v>DIS</v>
      </c>
    </row>
    <row r="40" spans="2:11" x14ac:dyDescent="0.25">
      <c r="B40" t="str">
        <f>+Tabla1[[#This Row],[dimension_id]]&amp;"_"&amp;Tabla1[[#This Row],[subdimension_id]]&amp;"_"&amp;Tabla1[[#This Row],[categoria_id]]</f>
        <v>TT_US_NAV</v>
      </c>
      <c r="C40" s="2" t="s">
        <v>19</v>
      </c>
      <c r="D40" t="s">
        <v>24</v>
      </c>
      <c r="E40" t="s">
        <v>32</v>
      </c>
      <c r="F40" t="s">
        <v>100</v>
      </c>
      <c r="G40" t="s">
        <v>101</v>
      </c>
      <c r="H40"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Navegación -- Comprueba que la navegación es previsible y eficaz.</v>
      </c>
      <c r="I40" t="str">
        <f>IFERROR(VLOOKUP(Tabla1[[#This Row],[dimension]],Datos!$B$2:$C$6,2,0),"dim")</f>
        <v>TT</v>
      </c>
      <c r="J40" t="str">
        <f>IFERROR(VLOOKUP(Tabla1[[#This Row],[subdimension]],Datos!$E$2:$F$20,2,0),"subdim")</f>
        <v>US</v>
      </c>
      <c r="K40" t="str">
        <f>IFERROR(VLOOKUP(Tabla1[[#This Row],[categoria]],Datos!$H$2:$I$21,2,0),"cat")</f>
        <v>NAV</v>
      </c>
    </row>
    <row r="41" spans="2:11" x14ac:dyDescent="0.25">
      <c r="B41" t="str">
        <f>+Tabla1[[#This Row],[dimension_id]]&amp;"_"&amp;Tabla1[[#This Row],[subdimension_id]]&amp;"_"&amp;Tabla1[[#This Row],[categoria_id]]</f>
        <v>TT_US_NAV</v>
      </c>
      <c r="C41" s="2" t="s">
        <v>19</v>
      </c>
      <c r="D41" t="s">
        <v>24</v>
      </c>
      <c r="E41" t="s">
        <v>32</v>
      </c>
      <c r="F41" t="s">
        <v>102</v>
      </c>
      <c r="G41" t="s">
        <v>103</v>
      </c>
      <c r="H41" t="str">
        <f>+"Dimensión: " &amp; Tabla1[[#This Row],[dimension]] &amp; " -- " &amp; "Subdimensión: " &amp; Tabla1[[#This Row],[subdimension]] &amp; " -- " &amp; "Categoría: " &amp; Tabla1[[#This Row],[categoria]] &amp; " -- " &amp; Tabla1[[#This Row],[recomendacion]]</f>
        <v xml:space="preserve">Dimensión: Dimensión técnica y tecnológica -- Subdimensión: Usabilidad -- Categoría: Navegación -- Asegúrate de que la navegación sigue un orden lógico. </v>
      </c>
      <c r="I41" t="str">
        <f>IFERROR(VLOOKUP(Tabla1[[#This Row],[dimension]],Datos!$B$2:$C$6,2,0),"dim")</f>
        <v>TT</v>
      </c>
      <c r="J41" t="str">
        <f>IFERROR(VLOOKUP(Tabla1[[#This Row],[subdimension]],Datos!$E$2:$F$20,2,0),"subdim")</f>
        <v>US</v>
      </c>
      <c r="K41" t="str">
        <f>IFERROR(VLOOKUP(Tabla1[[#This Row],[categoria]],Datos!$H$2:$I$21,2,0),"cat")</f>
        <v>NAV</v>
      </c>
    </row>
    <row r="42" spans="2:11" x14ac:dyDescent="0.25">
      <c r="B42" t="str">
        <f>+Tabla1[[#This Row],[dimension_id]]&amp;"_"&amp;Tabla1[[#This Row],[subdimension_id]]&amp;"_"&amp;Tabla1[[#This Row],[categoria_id]]</f>
        <v>TT_US_NAV</v>
      </c>
      <c r="C42" s="2" t="s">
        <v>19</v>
      </c>
      <c r="D42" t="s">
        <v>24</v>
      </c>
      <c r="E42" t="s">
        <v>32</v>
      </c>
      <c r="F42" t="s">
        <v>104</v>
      </c>
      <c r="G42" t="s">
        <v>105</v>
      </c>
      <c r="H42" t="str">
        <f>+"Dimensión: " &amp; Tabla1[[#This Row],[dimension]] &amp; " -- " &amp; "Subdimensión: " &amp; Tabla1[[#This Row],[subdimension]] &amp; " -- " &amp; "Categoría: " &amp; Tabla1[[#This Row],[categoria]] &amp; " -- " &amp; Tabla1[[#This Row],[recomendacion]]</f>
        <v>Dimensión: Dimensión técnica y tecnológica -- Subdimensión: Usabilidad -- Categoría: Navegación -- Integra los sistemas de orientación de la navegación en el REA para que los usuarios sepan dónde se encuentran en cada momento.</v>
      </c>
      <c r="I42" t="str">
        <f>IFERROR(VLOOKUP(Tabla1[[#This Row],[dimension]],Datos!$B$2:$C$6,2,0),"dim")</f>
        <v>TT</v>
      </c>
      <c r="J42" t="str">
        <f>IFERROR(VLOOKUP(Tabla1[[#This Row],[subdimension]],Datos!$E$2:$F$20,2,0),"subdim")</f>
        <v>US</v>
      </c>
      <c r="K42" t="str">
        <f>IFERROR(VLOOKUP(Tabla1[[#This Row],[categoria]],Datos!$H$2:$I$21,2,0),"cat")</f>
        <v>NAV</v>
      </c>
    </row>
    <row r="43" spans="2:11" x14ac:dyDescent="0.25">
      <c r="B43" t="str">
        <f>+Tabla1[[#This Row],[dimension_id]]&amp;"_"&amp;Tabla1[[#This Row],[subdimension_id]]&amp;"_"&amp;Tabla1[[#This Row],[categoria_id]]</f>
        <v>TT_US_NAV</v>
      </c>
      <c r="C43" s="2" t="s">
        <v>19</v>
      </c>
      <c r="D43" t="s">
        <v>24</v>
      </c>
      <c r="E43" t="s">
        <v>32</v>
      </c>
      <c r="F43" t="s">
        <v>106</v>
      </c>
      <c r="G43" t="s">
        <v>107</v>
      </c>
      <c r="H43" t="str">
        <f>+"Dimensión: " &amp; Tabla1[[#This Row],[dimension]] &amp; " -- " &amp; "Subdimensión: " &amp; Tabla1[[#This Row],[subdimension]] &amp; " -- " &amp; "Categoría: " &amp; Tabla1[[#This Row],[categoria]] &amp; " -- " &amp; Tabla1[[#This Row],[recomendacion]]</f>
        <v xml:space="preserve">Dimensión: Dimensión técnica y tecnológica -- Subdimensión: Usabilidad -- Categoría: Navegación -- Constata que las acciones de navegación se pueden deshacer. </v>
      </c>
      <c r="I43" t="str">
        <f>IFERROR(VLOOKUP(Tabla1[[#This Row],[dimension]],Datos!$B$2:$C$6,2,0),"dim")</f>
        <v>TT</v>
      </c>
      <c r="J43" t="str">
        <f>IFERROR(VLOOKUP(Tabla1[[#This Row],[subdimension]],Datos!$E$2:$F$20,2,0),"subdim")</f>
        <v>US</v>
      </c>
      <c r="K43" t="str">
        <f>IFERROR(VLOOKUP(Tabla1[[#This Row],[categoria]],Datos!$H$2:$I$21,2,0),"cat")</f>
        <v>NAV</v>
      </c>
    </row>
    <row r="44" spans="2:11" x14ac:dyDescent="0.25">
      <c r="B44" t="str">
        <f>+Tabla1[[#This Row],[dimension_id]]&amp;"_"&amp;Tabla1[[#This Row],[subdimension_id]]&amp;"_"&amp;Tabla1[[#This Row],[categoria_id]]</f>
        <v>TT_LI_USO</v>
      </c>
      <c r="C44" s="2" t="s">
        <v>19</v>
      </c>
      <c r="D44" t="s">
        <v>25</v>
      </c>
      <c r="E44" t="s">
        <v>31</v>
      </c>
      <c r="F44" t="s">
        <v>108</v>
      </c>
      <c r="G44" t="s">
        <v>109</v>
      </c>
      <c r="H44" t="str">
        <f>+"Dimensión: " &amp; Tabla1[[#This Row],[dimension]] &amp; " -- " &amp; "Subdimensión: " &amp; Tabla1[[#This Row],[subdimension]] &amp; " -- " &amp; "Categoría: " &amp; Tabla1[[#This Row],[categoria]] &amp; " -- " &amp; Tabla1[[#This Row],[recomendacion]]</f>
        <v>Dimensión: Dimensión técnica y tecnológica -- Subdimensión: Licencias -- Categoría: Uso de los REA -- Asegúrate de que el REA se proporciona bajo una licencia abierta, de uso libre o de código abierto. Indica de manera clara la licencia seleccionada para el REA, de modo que se definan sus condiciones de uso.</v>
      </c>
      <c r="I44" t="str">
        <f>IFERROR(VLOOKUP(Tabla1[[#This Row],[dimension]],Datos!$B$2:$C$6,2,0),"dim")</f>
        <v>TT</v>
      </c>
      <c r="J44" t="str">
        <f>IFERROR(VLOOKUP(Tabla1[[#This Row],[subdimension]],Datos!$E$2:$F$20,2,0),"subdim")</f>
        <v>LI</v>
      </c>
      <c r="K44" t="str">
        <f>IFERROR(VLOOKUP(Tabla1[[#This Row],[categoria]],Datos!$H$2:$I$21,2,0),"cat")</f>
        <v>USO</v>
      </c>
    </row>
    <row r="45" spans="2:11" ht="15" customHeight="1" x14ac:dyDescent="0.25">
      <c r="B45" t="str">
        <f>+Tabla1[[#This Row],[dimension_id]]&amp;"_"&amp;Tabla1[[#This Row],[subdimension_id]]&amp;"_"&amp;Tabla1[[#This Row],[categoria_id]]</f>
        <v>TT_LI_DES</v>
      </c>
      <c r="C45" s="2" t="s">
        <v>19</v>
      </c>
      <c r="D45" t="s">
        <v>25</v>
      </c>
      <c r="E45" t="s">
        <v>33</v>
      </c>
      <c r="F45" t="s">
        <v>117</v>
      </c>
      <c r="G45" t="s">
        <v>115</v>
      </c>
      <c r="H45" t="str">
        <f>+"Dimensión: " &amp; Tabla1[[#This Row],[dimension]] &amp; " -- " &amp; "Subdimensión: " &amp; Tabla1[[#This Row],[subdimension]] &amp; " -- " &amp; "Categoría: " &amp; Tabla1[[#This Row],[categoria]] &amp; " -- " &amp; Tabla1[[#This Row],[recomendacion]]</f>
        <v xml:space="preserve">Dimensión: Dimensión técnica y tecnológica -- Subdimensión: Licencias -- Categoría: Desarrollo de los REA -- Asigna la licencia. Sigue estos pasos:
— indica la licencia en tu recurso:
“[nombre del REA]” de [tu nombre], con una licencia [tipo de licencia]. Publicado en [enlace al sitio web]. 
— descarga el logotipo de la licencia desde el sitio web enlazado y colócalo en la primera página o en el pie de página de tu REA. </v>
      </c>
      <c r="I45" t="str">
        <f>IFERROR(VLOOKUP(Tabla1[[#This Row],[dimension]],Datos!$B$2:$C$6,2,0),"dim")</f>
        <v>TT</v>
      </c>
      <c r="J45" t="str">
        <f>IFERROR(VLOOKUP(Tabla1[[#This Row],[subdimension]],Datos!$E$2:$F$20,2,0),"subdim")</f>
        <v>LI</v>
      </c>
      <c r="K45" t="str">
        <f>IFERROR(VLOOKUP(Tabla1[[#This Row],[categoria]],Datos!$H$2:$I$21,2,0),"cat")</f>
        <v>DES</v>
      </c>
    </row>
    <row r="46" spans="2:11" x14ac:dyDescent="0.25">
      <c r="B46" t="str">
        <f>+Tabla1[[#This Row],[dimension_id]]&amp;"_"&amp;Tabla1[[#This Row],[subdimension_id]]&amp;"_"&amp;Tabla1[[#This Row],[categoria_id]]</f>
        <v>TT_LI_DES</v>
      </c>
      <c r="C46" s="2" t="s">
        <v>19</v>
      </c>
      <c r="D46" t="s">
        <v>25</v>
      </c>
      <c r="E46" t="s">
        <v>33</v>
      </c>
      <c r="F46" t="s">
        <v>110</v>
      </c>
      <c r="G46" t="s">
        <v>111</v>
      </c>
      <c r="H46" t="str">
        <f>+"Dimensión: " &amp; Tabla1[[#This Row],[dimension]] &amp; " -- " &amp; "Subdimensión: " &amp; Tabla1[[#This Row],[subdimension]] &amp; " -- " &amp; "Categoría: " &amp; Tabla1[[#This Row],[categoria]] &amp; " -- " &amp; Tabla1[[#This Row],[recomendacion]]</f>
        <v>Dimensión: Dimensión técnica y tecnológica -- Subdimensión: Licencias -- Categoría: Desarrollo de los REA -- Asegúrate de que todos los elementos creados o incluidos en el REA (textos, vídeos, archivos de audio u otros materiales) cumplen con los requisitos de la licencia del REA o con los establecidos por otras licencias similares o compatibles, como las Creative Commons.</v>
      </c>
      <c r="I46" t="str">
        <f>IFERROR(VLOOKUP(Tabla1[[#This Row],[dimension]],Datos!$B$2:$C$6,2,0),"dim")</f>
        <v>TT</v>
      </c>
      <c r="J46" t="str">
        <f>IFERROR(VLOOKUP(Tabla1[[#This Row],[subdimension]],Datos!$E$2:$F$20,2,0),"subdim")</f>
        <v>LI</v>
      </c>
      <c r="K46" t="str">
        <f>IFERROR(VLOOKUP(Tabla1[[#This Row],[categoria]],Datos!$H$2:$I$21,2,0),"cat")</f>
        <v>DES</v>
      </c>
    </row>
    <row r="47" spans="2:11" x14ac:dyDescent="0.25">
      <c r="B47" t="str">
        <f>+Tabla1[[#This Row],[dimension_id]]&amp;"_"&amp;Tabla1[[#This Row],[subdimension_id]]&amp;"_"&amp;Tabla1[[#This Row],[categoria_id]]</f>
        <v>TT_LI_DES</v>
      </c>
      <c r="C47" s="2" t="s">
        <v>19</v>
      </c>
      <c r="D47" t="s">
        <v>25</v>
      </c>
      <c r="E47" t="s">
        <v>33</v>
      </c>
      <c r="F47" t="s">
        <v>112</v>
      </c>
      <c r="G47" t="s">
        <v>113</v>
      </c>
      <c r="H47" t="str">
        <f>+"Dimensión: " &amp; Tabla1[[#This Row],[dimension]] &amp; " -- " &amp; "Subdimensión: " &amp; Tabla1[[#This Row],[subdimension]] &amp; " -- " &amp; "Categoría: " &amp; Tabla1[[#This Row],[categoria]] &amp; " -- " &amp; Tabla1[[#This Row],[recomendacion]]</f>
        <v xml:space="preserve">Dimensión: Dimensión técnica y tecnológica -- Subdimensión: Licencias -- Categoría: Desarrollo de los REA -- No uses materiales ajenos sin la debida autorización o permiso y evita el plagio. </v>
      </c>
      <c r="I47" t="str">
        <f>IFERROR(VLOOKUP(Tabla1[[#This Row],[dimension]],Datos!$B$2:$C$6,2,0),"dim")</f>
        <v>TT</v>
      </c>
      <c r="J47" t="str">
        <f>IFERROR(VLOOKUP(Tabla1[[#This Row],[subdimension]],Datos!$E$2:$F$20,2,0),"subdim")</f>
        <v>LI</v>
      </c>
      <c r="K47" t="str">
        <f>IFERROR(VLOOKUP(Tabla1[[#This Row],[categoria]],Datos!$H$2:$I$21,2,0),"cat")</f>
        <v>DES</v>
      </c>
    </row>
    <row r="48" spans="2:11" x14ac:dyDescent="0.25">
      <c r="B48" t="str">
        <f>+Tabla1[[#This Row],[dimension_id]]&amp;"_"&amp;Tabla1[[#This Row],[subdimension_id]]&amp;"_"&amp;Tabla1[[#This Row],[categoria_id]]</f>
        <v>TT_LI_DES</v>
      </c>
      <c r="C48" s="2" t="s">
        <v>19</v>
      </c>
      <c r="D48" t="s">
        <v>25</v>
      </c>
      <c r="E48" t="s">
        <v>33</v>
      </c>
      <c r="F48" t="s">
        <v>114</v>
      </c>
      <c r="G48" t="s">
        <v>116</v>
      </c>
      <c r="H48" t="str">
        <f>+"Dimensión: " &amp; Tabla1[[#This Row],[dimension]] &amp; " -- " &amp; "Subdimensión: " &amp; Tabla1[[#This Row],[subdimension]] &amp; " -- " &amp; "Categoría: " &amp; Tabla1[[#This Row],[categoria]] &amp; " -- " &amp; Tabla1[[#This Row],[recomendacion]]</f>
        <v>Dimensión: Dimensión técnica y tecnológica -- Subdimensión: Licencias -- Categoría: Desarrollo de los REA -- Reconoce la autoría de imágenes, ilustraciones, vídeos u otros elementos multimedia. Incluye la autoría y la licencia en el pie.</v>
      </c>
      <c r="I48" t="str">
        <f>IFERROR(VLOOKUP(Tabla1[[#This Row],[dimension]],Datos!$B$2:$C$6,2,0),"dim")</f>
        <v>TT</v>
      </c>
      <c r="J48" t="str">
        <f>IFERROR(VLOOKUP(Tabla1[[#This Row],[subdimension]],Datos!$E$2:$F$20,2,0),"subdim")</f>
        <v>LI</v>
      </c>
      <c r="K48" t="str">
        <f>IFERROR(VLOOKUP(Tabla1[[#This Row],[categoria]],Datos!$H$2:$I$21,2,0),"cat")</f>
        <v>DES</v>
      </c>
    </row>
    <row r="49" spans="2:11" x14ac:dyDescent="0.25">
      <c r="B49" t="str">
        <f>+Tabla1[[#This Row],[dimension_id]]&amp;"_"&amp;Tabla1[[#This Row],[subdimension_id]]&amp;"_"&amp;Tabla1[[#This Row],[categoria_id]]</f>
        <v>TT_MD_ELE</v>
      </c>
      <c r="C49" s="2" t="s">
        <v>19</v>
      </c>
      <c r="D49" t="s">
        <v>10</v>
      </c>
      <c r="E49" t="s">
        <v>26</v>
      </c>
      <c r="F49" t="s">
        <v>118</v>
      </c>
      <c r="G49" t="s">
        <v>119</v>
      </c>
      <c r="H49" t="str">
        <f>+"Dimensión: " &amp; Tabla1[[#This Row],[dimension]] &amp; " -- " &amp; "Subdimensión: " &amp; Tabla1[[#This Row],[subdimension]] &amp; " -- " &amp; "Categoría: " &amp; Tabla1[[#This Row],[categoria]] &amp; " -- " &amp; Tabla1[[#This Row],[recomendacion]]</f>
        <v xml:space="preserve">Dimensión: Dimensión técnica y tecnológica -- Subdimensión: Metadatos -- Categoría: Elección de los metadatos -- Incluye los metadatos más relevantes para que tu REA sea fácilmente localizable. </v>
      </c>
      <c r="I49" t="str">
        <f>IFERROR(VLOOKUP(Tabla1[[#This Row],[dimension]],Datos!$B$2:$C$6,2,0),"dim")</f>
        <v>TT</v>
      </c>
      <c r="J49" t="str">
        <f>IFERROR(VLOOKUP(Tabla1[[#This Row],[subdimension]],Datos!$E$2:$F$20,2,0),"subdim")</f>
        <v>MD</v>
      </c>
      <c r="K49" t="str">
        <f>IFERROR(VLOOKUP(Tabla1[[#This Row],[categoria]],Datos!$H$2:$I$21,2,0),"cat")</f>
        <v>ELE</v>
      </c>
    </row>
    <row r="50" spans="2:11" x14ac:dyDescent="0.25">
      <c r="B50" t="str">
        <f>+Tabla1[[#This Row],[dimension_id]]&amp;"_"&amp;Tabla1[[#This Row],[subdimension_id]]&amp;"_"&amp;Tabla1[[#This Row],[categoria_id]]</f>
        <v>TT_MD_ADA</v>
      </c>
      <c r="C50" s="2" t="s">
        <v>19</v>
      </c>
      <c r="D50" t="s">
        <v>10</v>
      </c>
      <c r="E50" t="s">
        <v>34</v>
      </c>
      <c r="F50" t="s">
        <v>120</v>
      </c>
      <c r="G50" t="s">
        <v>121</v>
      </c>
      <c r="H50" t="str">
        <f>+"Dimensión: " &amp; Tabla1[[#This Row],[dimension]] &amp; " -- " &amp; "Subdimensión: " &amp; Tabla1[[#This Row],[subdimension]] &amp; " -- " &amp; "Categoría: " &amp; Tabla1[[#This Row],[categoria]] &amp; " -- " &amp; Tabla1[[#This Row],[recomendacion]]</f>
        <v>Dimensión: Dimensión técnica y tecnológica -- Subdimensión: Metadatos -- Categoría: Adaptación de los REA -- Asegúrate de que existen mecanismos para que los usuarios suban una versión revisada o adaptada de tu REA.</v>
      </c>
      <c r="I50" t="str">
        <f>IFERROR(VLOOKUP(Tabla1[[#This Row],[dimension]],Datos!$B$2:$C$6,2,0),"dim")</f>
        <v>TT</v>
      </c>
      <c r="J50" t="str">
        <f>IFERROR(VLOOKUP(Tabla1[[#This Row],[subdimension]],Datos!$E$2:$F$20,2,0),"subdim")</f>
        <v>MD</v>
      </c>
      <c r="K50" t="str">
        <f>IFERROR(VLOOKUP(Tabla1[[#This Row],[categoria]],Datos!$H$2:$I$21,2,0),"cat")</f>
        <v>ADA</v>
      </c>
    </row>
    <row r="51" spans="2:11" x14ac:dyDescent="0.25">
      <c r="B51" t="str">
        <f>+Tabla1[[#This Row],[dimension_id]]&amp;"_"&amp;Tabla1[[#This Row],[subdimension_id]]&amp;"_"&amp;Tabla1[[#This Row],[categoria_id]]</f>
        <v>SD_subdim_cat</v>
      </c>
      <c r="C51" s="3" t="s">
        <v>35</v>
      </c>
      <c r="F51" t="s">
        <v>122</v>
      </c>
      <c r="G51" t="s">
        <v>123</v>
      </c>
      <c r="H51" t="str">
        <f>+"Dimensión: " &amp; Tabla1[[#This Row],[dimension]] &amp; " -- " &amp; "Subdimensión: " &amp; Tabla1[[#This Row],[subdimension]] &amp; " -- " &amp; "Categoría: " &amp; Tabla1[[#This Row],[categoria]] &amp; " -- " &amp; Tabla1[[#This Row],[recomendacion]]</f>
        <v>Dimensión: Sensibilidad hacia la diversidad -- Subdimensión:  -- Categoría:  -- Siempre que sea posible, los materiales deben reflejar la diversidad del alumnado en el aula. Ofrezca variedad en las ilustraciones de personajes, estilos de vida, lenguaje, etc.</v>
      </c>
      <c r="I51" t="str">
        <f>IFERROR(VLOOKUP(Tabla1[[#This Row],[dimension]],Datos!$B$2:$C$6,2,0),"dim")</f>
        <v>SD</v>
      </c>
      <c r="J51" t="str">
        <f>IFERROR(VLOOKUP(Tabla1[[#This Row],[subdimension]],Datos!$E$2:$F$20,2,0),"subdim")</f>
        <v>subdim</v>
      </c>
      <c r="K51" t="str">
        <f>IFERROR(VLOOKUP(Tabla1[[#This Row],[categoria]],Datos!$H$2:$I$21,2,0),"cat")</f>
        <v>cat</v>
      </c>
    </row>
    <row r="52" spans="2:11" x14ac:dyDescent="0.25">
      <c r="B52" t="str">
        <f>+Tabla1[[#This Row],[dimension_id]]&amp;"_"&amp;Tabla1[[#This Row],[subdimension_id]]&amp;"_"&amp;Tabla1[[#This Row],[categoria_id]]</f>
        <v>SD_CG_cat</v>
      </c>
      <c r="C52" s="3" t="s">
        <v>35</v>
      </c>
      <c r="D52" t="s">
        <v>36</v>
      </c>
      <c r="F52" t="s">
        <v>124</v>
      </c>
      <c r="G52" t="s">
        <v>125</v>
      </c>
      <c r="H52"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Garantice que no haya predominio de un solo género en las representaciones visuales.</v>
      </c>
      <c r="I52" t="str">
        <f>IFERROR(VLOOKUP(Tabla1[[#This Row],[dimension]],Datos!$B$2:$C$6,2,0),"dim")</f>
        <v>SD</v>
      </c>
      <c r="J52" t="str">
        <f>IFERROR(VLOOKUP(Tabla1[[#This Row],[subdimension]],Datos!$E$2:$F$20,2,0),"subdim")</f>
        <v>CG</v>
      </c>
      <c r="K52" t="str">
        <f>IFERROR(VLOOKUP(Tabla1[[#This Row],[categoria]],Datos!$H$2:$I$21,2,0),"cat")</f>
        <v>cat</v>
      </c>
    </row>
    <row r="53" spans="2:11" x14ac:dyDescent="0.25">
      <c r="B53" t="str">
        <f>+Tabla1[[#This Row],[dimension_id]]&amp;"_"&amp;Tabla1[[#This Row],[subdimension_id]]&amp;"_"&amp;Tabla1[[#This Row],[categoria_id]]</f>
        <v>SD_CG_cat</v>
      </c>
      <c r="C53" s="3" t="s">
        <v>35</v>
      </c>
      <c r="D53" t="s">
        <v>36</v>
      </c>
      <c r="F53" t="s">
        <v>126</v>
      </c>
      <c r="G53" t="s">
        <v>127</v>
      </c>
      <c r="H53"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Evite los estereotipos de género en los textos o imágenes al representar actividades profesionales o roles sociales.</v>
      </c>
      <c r="I53" t="str">
        <f>IFERROR(VLOOKUP(Tabla1[[#This Row],[dimension]],Datos!$B$2:$C$6,2,0),"dim")</f>
        <v>SD</v>
      </c>
      <c r="J53" t="str">
        <f>IFERROR(VLOOKUP(Tabla1[[#This Row],[subdimension]],Datos!$E$2:$F$20,2,0),"subdim")</f>
        <v>CG</v>
      </c>
      <c r="K53" t="str">
        <f>IFERROR(VLOOKUP(Tabla1[[#This Row],[categoria]],Datos!$H$2:$I$21,2,0),"cat")</f>
        <v>cat</v>
      </c>
    </row>
    <row r="54" spans="2:11" x14ac:dyDescent="0.25">
      <c r="B54" t="str">
        <f>+Tabla1[[#This Row],[dimension_id]]&amp;"_"&amp;Tabla1[[#This Row],[subdimension_id]]&amp;"_"&amp;Tabla1[[#This Row],[categoria_id]]</f>
        <v>SD_CG_cat</v>
      </c>
      <c r="C54" s="3" t="s">
        <v>35</v>
      </c>
      <c r="D54" t="s">
        <v>36</v>
      </c>
      <c r="F54" t="s">
        <v>128</v>
      </c>
      <c r="G54" t="s">
        <v>129</v>
      </c>
      <c r="H54"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Asegúrese de no utilizar lenguaje ni imágenes sexistas en cuanto a la ropa mostrada, accesorios, actitudes, aficiones, etc.</v>
      </c>
      <c r="I54" t="str">
        <f>IFERROR(VLOOKUP(Tabla1[[#This Row],[dimension]],Datos!$B$2:$C$6,2,0),"dim")</f>
        <v>SD</v>
      </c>
      <c r="J54" t="str">
        <f>IFERROR(VLOOKUP(Tabla1[[#This Row],[subdimension]],Datos!$E$2:$F$20,2,0),"subdim")</f>
        <v>CG</v>
      </c>
      <c r="K54" t="str">
        <f>IFERROR(VLOOKUP(Tabla1[[#This Row],[categoria]],Datos!$H$2:$I$21,2,0),"cat")</f>
        <v>cat</v>
      </c>
    </row>
    <row r="55" spans="2:11" x14ac:dyDescent="0.25">
      <c r="B55" t="str">
        <f>+Tabla1[[#This Row],[dimension_id]]&amp;"_"&amp;Tabla1[[#This Row],[subdimension_id]]&amp;"_"&amp;Tabla1[[#This Row],[categoria_id]]</f>
        <v>SD_CG_cat</v>
      </c>
      <c r="C55" s="3" t="s">
        <v>35</v>
      </c>
      <c r="D55" t="s">
        <v>36</v>
      </c>
      <c r="F55" t="s">
        <v>130</v>
      </c>
      <c r="G55" t="s">
        <v>131</v>
      </c>
      <c r="H55"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Evite el uso de generalizaciones masculinas y términos masculinos singulares para referirse a personas de diferentes géneros. Utilice sustantivos que no sean específicos de género.</v>
      </c>
      <c r="I55" t="str">
        <f>IFERROR(VLOOKUP(Tabla1[[#This Row],[dimension]],Datos!$B$2:$C$6,2,0),"dim")</f>
        <v>SD</v>
      </c>
      <c r="J55" t="str">
        <f>IFERROR(VLOOKUP(Tabla1[[#This Row],[subdimension]],Datos!$E$2:$F$20,2,0),"subdim")</f>
        <v>CG</v>
      </c>
      <c r="K55" t="str">
        <f>IFERROR(VLOOKUP(Tabla1[[#This Row],[categoria]],Datos!$H$2:$I$21,2,0),"cat")</f>
        <v>cat</v>
      </c>
    </row>
    <row r="56" spans="2:11" x14ac:dyDescent="0.25">
      <c r="B56" t="str">
        <f>+Tabla1[[#This Row],[dimension_id]]&amp;"_"&amp;Tabla1[[#This Row],[subdimension_id]]&amp;"_"&amp;Tabla1[[#This Row],[categoria_id]]</f>
        <v>SD_CG_cat</v>
      </c>
      <c r="C56" s="3" t="s">
        <v>35</v>
      </c>
      <c r="D56" t="s">
        <v>36</v>
      </c>
      <c r="F56" t="s">
        <v>132</v>
      </c>
      <c r="H56"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Garantice que las contribuciones realizadas en los distintos campos del conocimiento (por ejemplo, arte o biología) por mujeres y hombres sean igualmente visibles.</v>
      </c>
      <c r="I56" t="str">
        <f>IFERROR(VLOOKUP(Tabla1[[#This Row],[dimension]],Datos!$B$2:$C$6,2,0),"dim")</f>
        <v>SD</v>
      </c>
      <c r="J56" t="str">
        <f>IFERROR(VLOOKUP(Tabla1[[#This Row],[subdimension]],Datos!$E$2:$F$20,2,0),"subdim")</f>
        <v>CG</v>
      </c>
      <c r="K56" t="str">
        <f>IFERROR(VLOOKUP(Tabla1[[#This Row],[categoria]],Datos!$H$2:$I$21,2,0),"cat")</f>
        <v>cat</v>
      </c>
    </row>
    <row r="57" spans="2:11" x14ac:dyDescent="0.25">
      <c r="B57" t="str">
        <f>+Tabla1[[#This Row],[dimension_id]]&amp;"_"&amp;Tabla1[[#This Row],[subdimension_id]]&amp;"_"&amp;Tabla1[[#This Row],[categoria_id]]</f>
        <v>SD_CG_cat</v>
      </c>
      <c r="C57" s="3" t="s">
        <v>35</v>
      </c>
      <c r="D57" t="s">
        <v>36</v>
      </c>
      <c r="F57" t="s">
        <v>133</v>
      </c>
      <c r="G57" t="s">
        <v>134</v>
      </c>
      <c r="H57" t="str">
        <f>+"Dimensión: " &amp; Tabla1[[#This Row],[dimension]] &amp; " -- " &amp; "Subdimensión: " &amp; Tabla1[[#This Row],[subdimension]] &amp; " -- " &amp; "Categoría: " &amp; Tabla1[[#This Row],[categoria]] &amp; " -- " &amp; Tabla1[[#This Row],[recomendacion]]</f>
        <v>Dimensión: Sensibilidad hacia la diversidad -- Subdimensión: Conciencia de género -- Categoría:  -- Ofrezca actividades y ejemplos que promuevan el análisis crítico de las desigualdades de género. Debata y analice los roles de género en distintos contextos, como las responsabilidades domésticas, las profesiones o la representación en los medios.</v>
      </c>
      <c r="I57" t="str">
        <f>IFERROR(VLOOKUP(Tabla1[[#This Row],[dimension]],Datos!$B$2:$C$6,2,0),"dim")</f>
        <v>SD</v>
      </c>
      <c r="J57" t="str">
        <f>IFERROR(VLOOKUP(Tabla1[[#This Row],[subdimension]],Datos!$E$2:$F$20,2,0),"subdim")</f>
        <v>CG</v>
      </c>
      <c r="K57" t="str">
        <f>IFERROR(VLOOKUP(Tabla1[[#This Row],[categoria]],Datos!$H$2:$I$21,2,0),"cat")</f>
        <v>cat</v>
      </c>
    </row>
    <row r="58" spans="2:11" x14ac:dyDescent="0.25">
      <c r="B58" t="str">
        <f>+Tabla1[[#This Row],[dimension_id]]&amp;"_"&amp;Tabla1[[#This Row],[subdimension_id]]&amp;"_"&amp;Tabla1[[#This Row],[categoria_id]]</f>
        <v>SD_SC_cat</v>
      </c>
      <c r="C58" s="3" t="s">
        <v>35</v>
      </c>
      <c r="D58" t="s">
        <v>37</v>
      </c>
      <c r="F58" t="s">
        <v>135</v>
      </c>
      <c r="G58" t="s">
        <v>136</v>
      </c>
      <c r="H58"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Asegúrese de que haya variedad en la representación visual de las personas (por ejemplo, diferentes características físicas), de modo que todos los estudiantes se sientan representados.</v>
      </c>
      <c r="I58" t="str">
        <f>IFERROR(VLOOKUP(Tabla1[[#This Row],[dimension]],Datos!$B$2:$C$6,2,0),"dim")</f>
        <v>SD</v>
      </c>
      <c r="J58" t="str">
        <f>IFERROR(VLOOKUP(Tabla1[[#This Row],[subdimension]],Datos!$E$2:$F$20,2,0),"subdim")</f>
        <v>SC</v>
      </c>
      <c r="K58" t="str">
        <f>IFERROR(VLOOKUP(Tabla1[[#This Row],[categoria]],Datos!$H$2:$I$21,2,0),"cat")</f>
        <v>cat</v>
      </c>
    </row>
    <row r="59" spans="2:11" x14ac:dyDescent="0.25">
      <c r="B59" t="str">
        <f>+Tabla1[[#This Row],[dimension_id]]&amp;"_"&amp;Tabla1[[#This Row],[subdimension_id]]&amp;"_"&amp;Tabla1[[#This Row],[categoria_id]]</f>
        <v>SD_SC_cat</v>
      </c>
      <c r="C59" s="3" t="s">
        <v>35</v>
      </c>
      <c r="D59" t="s">
        <v>37</v>
      </c>
      <c r="F59" t="s">
        <v>137</v>
      </c>
      <c r="G59" t="s">
        <v>138</v>
      </c>
      <c r="H59"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Utilice ejemplos en los textos o en otros medios que procedan de distintas culturas y tradiciones.</v>
      </c>
      <c r="I59" t="str">
        <f>IFERROR(VLOOKUP(Tabla1[[#This Row],[dimension]],Datos!$B$2:$C$6,2,0),"dim")</f>
        <v>SD</v>
      </c>
      <c r="J59" t="str">
        <f>IFERROR(VLOOKUP(Tabla1[[#This Row],[subdimension]],Datos!$E$2:$F$20,2,0),"subdim")</f>
        <v>SC</v>
      </c>
      <c r="K59" t="str">
        <f>IFERROR(VLOOKUP(Tabla1[[#This Row],[categoria]],Datos!$H$2:$I$21,2,0),"cat")</f>
        <v>cat</v>
      </c>
    </row>
    <row r="60" spans="2:11" x14ac:dyDescent="0.25">
      <c r="B60" t="str">
        <f>+Tabla1[[#This Row],[dimension_id]]&amp;"_"&amp;Tabla1[[#This Row],[subdimension_id]]&amp;"_"&amp;Tabla1[[#This Row],[categoria_id]]</f>
        <v>SD_SC_cat</v>
      </c>
      <c r="C60" s="3" t="s">
        <v>35</v>
      </c>
      <c r="D60" t="s">
        <v>37</v>
      </c>
      <c r="F60" t="s">
        <v>139</v>
      </c>
      <c r="G60" t="s">
        <v>140</v>
      </c>
      <c r="H60"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Ofrezca oportunidades intencionadas para conocer diferentes culturas.</v>
      </c>
      <c r="I60" t="str">
        <f>IFERROR(VLOOKUP(Tabla1[[#This Row],[dimension]],Datos!$B$2:$C$6,2,0),"dim")</f>
        <v>SD</v>
      </c>
      <c r="J60" t="str">
        <f>IFERROR(VLOOKUP(Tabla1[[#This Row],[subdimension]],Datos!$E$2:$F$20,2,0),"subdim")</f>
        <v>SC</v>
      </c>
      <c r="K60" t="str">
        <f>IFERROR(VLOOKUP(Tabla1[[#This Row],[categoria]],Datos!$H$2:$I$21,2,0),"cat")</f>
        <v>cat</v>
      </c>
    </row>
    <row r="61" spans="2:11" x14ac:dyDescent="0.25">
      <c r="B61" t="str">
        <f>+Tabla1[[#This Row],[dimension_id]]&amp;"_"&amp;Tabla1[[#This Row],[subdimension_id]]&amp;"_"&amp;Tabla1[[#This Row],[categoria_id]]</f>
        <v>SD_SC_cat</v>
      </c>
      <c r="C61" s="3" t="s">
        <v>35</v>
      </c>
      <c r="D61" t="s">
        <v>37</v>
      </c>
      <c r="F61" t="s">
        <v>141</v>
      </c>
      <c r="G61" t="s">
        <v>142</v>
      </c>
      <c r="H61"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Garantice que los contenidos sean lo más objetivos posible y respetuosos, libres de sesgos ideológicos.</v>
      </c>
      <c r="I61" t="str">
        <f>IFERROR(VLOOKUP(Tabla1[[#This Row],[dimension]],Datos!$B$2:$C$6,2,0),"dim")</f>
        <v>SD</v>
      </c>
      <c r="J61" t="str">
        <f>IFERROR(VLOOKUP(Tabla1[[#This Row],[subdimension]],Datos!$E$2:$F$20,2,0),"subdim")</f>
        <v>SC</v>
      </c>
      <c r="K61" t="str">
        <f>IFERROR(VLOOKUP(Tabla1[[#This Row],[categoria]],Datos!$H$2:$I$21,2,0),"cat")</f>
        <v>cat</v>
      </c>
    </row>
    <row r="62" spans="2:11" x14ac:dyDescent="0.25">
      <c r="B62" t="str">
        <f>+Tabla1[[#This Row],[dimension_id]]&amp;"_"&amp;Tabla1[[#This Row],[subdimension_id]]&amp;"_"&amp;Tabla1[[#This Row],[categoria_id]]</f>
        <v>SD_SC_cat</v>
      </c>
      <c r="C62" s="3" t="s">
        <v>35</v>
      </c>
      <c r="D62" t="s">
        <v>37</v>
      </c>
      <c r="F62" t="s">
        <v>143</v>
      </c>
      <c r="G62" t="s">
        <v>144</v>
      </c>
      <c r="H62"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Asegúrese de que las contribuciones realizadas en los diferentes campos del conocimiento por personas de distintas culturas sean igualmente visibles.</v>
      </c>
      <c r="I62" t="str">
        <f>IFERROR(VLOOKUP(Tabla1[[#This Row],[dimension]],Datos!$B$2:$C$6,2,0),"dim")</f>
        <v>SD</v>
      </c>
      <c r="J62" t="str">
        <f>IFERROR(VLOOKUP(Tabla1[[#This Row],[subdimension]],Datos!$E$2:$F$20,2,0),"subdim")</f>
        <v>SC</v>
      </c>
      <c r="K62" t="str">
        <f>IFERROR(VLOOKUP(Tabla1[[#This Row],[categoria]],Datos!$H$2:$I$21,2,0),"cat")</f>
        <v>cat</v>
      </c>
    </row>
    <row r="63" spans="2:11" x14ac:dyDescent="0.25">
      <c r="B63" t="str">
        <f>+Tabla1[[#This Row],[dimension_id]]&amp;"_"&amp;Tabla1[[#This Row],[subdimension_id]]&amp;"_"&amp;Tabla1[[#This Row],[categoria_id]]</f>
        <v>SD_SC_cat</v>
      </c>
      <c r="C63" s="3" t="s">
        <v>35</v>
      </c>
      <c r="D63" t="s">
        <v>37</v>
      </c>
      <c r="F63" t="s">
        <v>145</v>
      </c>
      <c r="H63"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Asegúrese de que los contenidos, los elementos visuales y las estrategias didácticas sean culturalmente sensibles, teniendo en cuenta las diferencias étnicas, religiosas y culturales de los estudiantes.</v>
      </c>
      <c r="I63" t="str">
        <f>IFERROR(VLOOKUP(Tabla1[[#This Row],[dimension]],Datos!$B$2:$C$6,2,0),"dim")</f>
        <v>SD</v>
      </c>
      <c r="J63" t="str">
        <f>IFERROR(VLOOKUP(Tabla1[[#This Row],[subdimension]],Datos!$E$2:$F$20,2,0),"subdim")</f>
        <v>SC</v>
      </c>
      <c r="K63" t="str">
        <f>IFERROR(VLOOKUP(Tabla1[[#This Row],[categoria]],Datos!$H$2:$I$21,2,0),"cat")</f>
        <v>cat</v>
      </c>
    </row>
    <row r="64" spans="2:11" x14ac:dyDescent="0.25">
      <c r="B64" t="str">
        <f>+Tabla1[[#This Row],[dimension_id]]&amp;"_"&amp;Tabla1[[#This Row],[subdimension_id]]&amp;"_"&amp;Tabla1[[#This Row],[categoria_id]]</f>
        <v>SD_SC_cat</v>
      </c>
      <c r="C64" s="3" t="s">
        <v>35</v>
      </c>
      <c r="D64" t="s">
        <v>37</v>
      </c>
      <c r="F64" t="s">
        <v>146</v>
      </c>
      <c r="G64" t="s">
        <v>147</v>
      </c>
      <c r="H64" t="str">
        <f>+"Dimensión: " &amp; Tabla1[[#This Row],[dimension]] &amp; " -- " &amp; "Subdimensión: " &amp; Tabla1[[#This Row],[subdimension]] &amp; " -- " &amp; "Categoría: " &amp; Tabla1[[#This Row],[categoria]] &amp; " -- " &amp; Tabla1[[#This Row],[recomendacion]]</f>
        <v>Dimensión: Sensibilidad hacia la diversidad -- Subdimensión: Sensibilidad cultural -- Categoría:  -- Garantice que el lenguaje del REA sea accesible para todos los estudiantes, teniendo en cuenta su lengua familiar, su dominio del idioma de enseñanza o el multilingüismo.</v>
      </c>
      <c r="I64" t="str">
        <f>IFERROR(VLOOKUP(Tabla1[[#This Row],[dimension]],Datos!$B$2:$C$6,2,0),"dim")</f>
        <v>SD</v>
      </c>
      <c r="J64" t="str">
        <f>IFERROR(VLOOKUP(Tabla1[[#This Row],[subdimension]],Datos!$E$2:$F$20,2,0),"subdim")</f>
        <v>SC</v>
      </c>
      <c r="K64" t="str">
        <f>IFERROR(VLOOKUP(Tabla1[[#This Row],[categoria]],Datos!$H$2:$I$21,2,0),"cat")</f>
        <v>cat</v>
      </c>
    </row>
    <row r="65" spans="2:11" x14ac:dyDescent="0.25">
      <c r="B65" t="str">
        <f>+Tabla1[[#This Row],[dimension_id]]&amp;"_"&amp;Tabla1[[#This Row],[subdimension_id]]&amp;"_"&amp;Tabla1[[#This Row],[categoria_id]]</f>
        <v>SD_NS_cat</v>
      </c>
      <c r="C65" s="3" t="s">
        <v>35</v>
      </c>
      <c r="D65" t="s">
        <v>38</v>
      </c>
      <c r="F65" t="s">
        <v>148</v>
      </c>
      <c r="H65" t="str">
        <f>+"Dimensión: " &amp; Tabla1[[#This Row],[dimension]] &amp; " -- " &amp; "Subdimensión: " &amp; Tabla1[[#This Row],[subdimension]] &amp; " -- " &amp; "Categoría: " &amp; Tabla1[[#This Row],[categoria]] &amp; " -- " &amp; Tabla1[[#This Row],[recomendacion]]</f>
        <v>Dimensión: Sensibilidad hacia la diversidad -- Subdimensión: Nivel socioeconómico -- Categoría:  -- Destaque historias de personas que alcanzan el éxito o la felicidad por diversos medios, no solo por su estatus socioeconómico. Promueva conversaciones sobre la conciencia del privilegio.</v>
      </c>
      <c r="I65" t="str">
        <f>IFERROR(VLOOKUP(Tabla1[[#This Row],[dimension]],Datos!$B$2:$C$6,2,0),"dim")</f>
        <v>SD</v>
      </c>
      <c r="J65" t="str">
        <f>IFERROR(VLOOKUP(Tabla1[[#This Row],[subdimension]],Datos!$E$2:$F$20,2,0),"subdim")</f>
        <v>NS</v>
      </c>
      <c r="K65" t="str">
        <f>IFERROR(VLOOKUP(Tabla1[[#This Row],[categoria]],Datos!$H$2:$I$21,2,0),"cat")</f>
        <v>cat</v>
      </c>
    </row>
    <row r="66" spans="2:11" x14ac:dyDescent="0.25">
      <c r="B66" t="str">
        <f>+Tabla1[[#This Row],[dimension_id]]&amp;"_"&amp;Tabla1[[#This Row],[subdimension_id]]&amp;"_"&amp;Tabla1[[#This Row],[categoria_id]]</f>
        <v>SD_NS_cat</v>
      </c>
      <c r="C66" s="3" t="s">
        <v>35</v>
      </c>
      <c r="D66" t="s">
        <v>38</v>
      </c>
      <c r="F66" t="s">
        <v>149</v>
      </c>
      <c r="H66" t="str">
        <f>+"Dimensión: " &amp; Tabla1[[#This Row],[dimension]] &amp; " -- " &amp; "Subdimensión: " &amp; Tabla1[[#This Row],[subdimension]] &amp; " -- " &amp; "Categoría: " &amp; Tabla1[[#This Row],[categoria]] &amp; " -- " &amp; Tabla1[[#This Row],[recomendacion]]</f>
        <v>Dimensión: Sensibilidad hacia la diversidad -- Subdimensión: Nivel socioeconómico -- Categoría:  -- Utilice imágenes o ilustraciones que no impliquen únicamente riqueza o privilegio (por ejemplo, casas de lujo o marcas caras). En su lugar, elija imágenes que reflejen entornos diversos y cotidianos (por ejemplo, parques públicos, espacios compartidos o entornos comunitarios).</v>
      </c>
      <c r="I66" t="str">
        <f>IFERROR(VLOOKUP(Tabla1[[#This Row],[dimension]],Datos!$B$2:$C$6,2,0),"dim")</f>
        <v>SD</v>
      </c>
      <c r="J66" t="str">
        <f>IFERROR(VLOOKUP(Tabla1[[#This Row],[subdimension]],Datos!$E$2:$F$20,2,0),"subdim")</f>
        <v>NS</v>
      </c>
      <c r="K66" t="str">
        <f>IFERROR(VLOOKUP(Tabla1[[#This Row],[categoria]],Datos!$H$2:$I$21,2,0),"cat")</f>
        <v>cat</v>
      </c>
    </row>
    <row r="67" spans="2:11" x14ac:dyDescent="0.25">
      <c r="B67" t="str">
        <f>+Tabla1[[#This Row],[dimension_id]]&amp;"_"&amp;Tabla1[[#This Row],[subdimension_id]]&amp;"_"&amp;Tabla1[[#This Row],[categoria_id]]</f>
        <v>SD_NS_cat</v>
      </c>
      <c r="C67" s="3" t="s">
        <v>35</v>
      </c>
      <c r="D67" t="s">
        <v>38</v>
      </c>
      <c r="F67" t="s">
        <v>150</v>
      </c>
      <c r="G67" t="s">
        <v>151</v>
      </c>
      <c r="H67" t="str">
        <f>+"Dimensión: " &amp; Tabla1[[#This Row],[dimension]] &amp; " -- " &amp; "Subdimensión: " &amp; Tabla1[[#This Row],[subdimension]] &amp; " -- " &amp; "Categoría: " &amp; Tabla1[[#This Row],[categoria]] &amp; " -- " &amp; Tabla1[[#This Row],[recomendacion]]</f>
        <v>Dimensión: Sensibilidad hacia la diversidad -- Subdimensión: Nivel socioeconómico -- Categoría:  -- Al referirse a productos en los materiales, evite mencionar marcas de lujo o artículos costosos.</v>
      </c>
      <c r="I67" t="str">
        <f>IFERROR(VLOOKUP(Tabla1[[#This Row],[dimension]],Datos!$B$2:$C$6,2,0),"dim")</f>
        <v>SD</v>
      </c>
      <c r="J67" t="str">
        <f>IFERROR(VLOOKUP(Tabla1[[#This Row],[subdimension]],Datos!$E$2:$F$20,2,0),"subdim")</f>
        <v>NS</v>
      </c>
      <c r="K67" t="str">
        <f>IFERROR(VLOOKUP(Tabla1[[#This Row],[categoria]],Datos!$H$2:$I$21,2,0),"cat")</f>
        <v>cat</v>
      </c>
    </row>
    <row r="68" spans="2:11" x14ac:dyDescent="0.25">
      <c r="B68" t="str">
        <f>+Tabla1[[#This Row],[dimension_id]]&amp;"_"&amp;Tabla1[[#This Row],[subdimension_id]]&amp;"_"&amp;Tabla1[[#This Row],[categoria_id]]</f>
        <v>AC_AT_TEX</v>
      </c>
      <c r="C68" s="4" t="s">
        <v>39</v>
      </c>
      <c r="D68" t="s">
        <v>40</v>
      </c>
      <c r="E68" t="s">
        <v>152</v>
      </c>
      <c r="F68" t="s">
        <v>158</v>
      </c>
      <c r="G68" t="s">
        <v>165</v>
      </c>
      <c r="H68"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Para los estudiantes que lo necesiten, proporcione diferentes versiones del documento, ajustando los espacios entre letras, palabras y líneas.</v>
      </c>
      <c r="I68" t="str">
        <f>IFERROR(VLOOKUP(Tabla1[[#This Row],[dimension]],Datos!$B$2:$C$6,2,0),"dim")</f>
        <v>AC</v>
      </c>
      <c r="J68" t="str">
        <f>IFERROR(VLOOKUP(Tabla1[[#This Row],[subdimension]],Datos!$E$2:$F$20,2,0),"subdim")</f>
        <v>AT</v>
      </c>
      <c r="K68" t="str">
        <f>IFERROR(VLOOKUP(Tabla1[[#This Row],[categoria]],Datos!$H$2:$I$21,2,0),"cat")</f>
        <v>TEX</v>
      </c>
    </row>
    <row r="69" spans="2:11" x14ac:dyDescent="0.25">
      <c r="B69" t="str">
        <f>+Tabla1[[#This Row],[dimension_id]]&amp;"_"&amp;Tabla1[[#This Row],[subdimension_id]]&amp;"_"&amp;Tabla1[[#This Row],[categoria_id]]</f>
        <v>AC_AT_TEX</v>
      </c>
      <c r="C69" s="4" t="s">
        <v>39</v>
      </c>
      <c r="D69" t="s">
        <v>40</v>
      </c>
      <c r="E69" t="s">
        <v>152</v>
      </c>
      <c r="F69" t="s">
        <v>159</v>
      </c>
      <c r="G69" t="s">
        <v>160</v>
      </c>
      <c r="H69"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Proporcione una forma de identificar definiciones específicas de palabras, frases o abreviaturas que son nuevas para los estudiantes o que se utilizan de manera inusual (por ejemplo, modismos y jerga).</v>
      </c>
      <c r="I69" t="str">
        <f>IFERROR(VLOOKUP(Tabla1[[#This Row],[dimension]],Datos!$B$2:$C$6,2,0),"dim")</f>
        <v>AC</v>
      </c>
      <c r="J69" t="str">
        <f>IFERROR(VLOOKUP(Tabla1[[#This Row],[subdimension]],Datos!$E$2:$F$20,2,0),"subdim")</f>
        <v>AT</v>
      </c>
      <c r="K69" t="str">
        <f>IFERROR(VLOOKUP(Tabla1[[#This Row],[categoria]],Datos!$H$2:$I$21,2,0),"cat")</f>
        <v>TEX</v>
      </c>
    </row>
    <row r="70" spans="2:11" x14ac:dyDescent="0.25">
      <c r="B70" t="str">
        <f>+Tabla1[[#This Row],[dimension_id]]&amp;"_"&amp;Tabla1[[#This Row],[subdimension_id]]&amp;"_"&amp;Tabla1[[#This Row],[categoria_id]]</f>
        <v>AC_AT_TEX</v>
      </c>
      <c r="C70" s="4" t="s">
        <v>39</v>
      </c>
      <c r="D70" t="s">
        <v>40</v>
      </c>
      <c r="E70" t="s">
        <v>152</v>
      </c>
      <c r="F70" t="s">
        <v>161</v>
      </c>
      <c r="G70" t="s">
        <v>162</v>
      </c>
      <c r="H70"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Tenga en cuenta que la estructura, como el orden de lectura y los elementos interactivos, puedan reconocerse y mostrarse claramente mediante tecnologías de asistencia.</v>
      </c>
      <c r="I70" t="str">
        <f>IFERROR(VLOOKUP(Tabla1[[#This Row],[dimension]],Datos!$B$2:$C$6,2,0),"dim")</f>
        <v>AC</v>
      </c>
      <c r="J70" t="str">
        <f>IFERROR(VLOOKUP(Tabla1[[#This Row],[subdimension]],Datos!$E$2:$F$20,2,0),"subdim")</f>
        <v>AT</v>
      </c>
      <c r="K70" t="str">
        <f>IFERROR(VLOOKUP(Tabla1[[#This Row],[categoria]],Datos!$H$2:$I$21,2,0),"cat")</f>
        <v>TEX</v>
      </c>
    </row>
    <row r="71" spans="2:11" x14ac:dyDescent="0.25">
      <c r="B71" t="str">
        <f>+Tabla1[[#This Row],[dimension_id]]&amp;"_"&amp;Tabla1[[#This Row],[subdimension_id]]&amp;"_"&amp;Tabla1[[#This Row],[categoria_id]]</f>
        <v>AC_AT_TEX</v>
      </c>
      <c r="C71" s="4" t="s">
        <v>39</v>
      </c>
      <c r="D71" t="s">
        <v>40</v>
      </c>
      <c r="E71" t="s">
        <v>152</v>
      </c>
      <c r="F71" t="s">
        <v>163</v>
      </c>
      <c r="G71" t="s">
        <v>164</v>
      </c>
      <c r="H71"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Asegúrese de que la información se transmita de múltiples maneras, como mediante etiquetas de texto, patrones, señales auditivas, colores, forma, tamaño, ubicación visual u orientación.</v>
      </c>
      <c r="I71" t="str">
        <f>IFERROR(VLOOKUP(Tabla1[[#This Row],[dimension]],Datos!$B$2:$C$6,2,0),"dim")</f>
        <v>AC</v>
      </c>
      <c r="J71" t="str">
        <f>IFERROR(VLOOKUP(Tabla1[[#This Row],[subdimension]],Datos!$E$2:$F$20,2,0),"subdim")</f>
        <v>AT</v>
      </c>
      <c r="K71" t="str">
        <f>IFERROR(VLOOKUP(Tabla1[[#This Row],[categoria]],Datos!$H$2:$I$21,2,0),"cat")</f>
        <v>TEX</v>
      </c>
    </row>
    <row r="72" spans="2:11" x14ac:dyDescent="0.25">
      <c r="B72" t="str">
        <f>+Tabla1[[#This Row],[dimension_id]]&amp;"_"&amp;Tabla1[[#This Row],[subdimension_id]]&amp;"_"&amp;Tabla1[[#This Row],[categoria_id]]</f>
        <v>AC_AT_TEX</v>
      </c>
      <c r="C72" s="4" t="s">
        <v>39</v>
      </c>
      <c r="D72" t="s">
        <v>40</v>
      </c>
      <c r="E72" t="s">
        <v>152</v>
      </c>
      <c r="F72" t="s">
        <v>166</v>
      </c>
      <c r="H72"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Asegúrese de que el contenido sea fácilmente legible tanto en orientación horizontal como vertical, a menos que una orientación específica sea esencial.</v>
      </c>
      <c r="I72" t="str">
        <f>IFERROR(VLOOKUP(Tabla1[[#This Row],[dimension]],Datos!$B$2:$C$6,2,0),"dim")</f>
        <v>AC</v>
      </c>
      <c r="J72" t="str">
        <f>IFERROR(VLOOKUP(Tabla1[[#This Row],[subdimension]],Datos!$E$2:$F$20,2,0),"subdim")</f>
        <v>AT</v>
      </c>
      <c r="K72" t="str">
        <f>IFERROR(VLOOKUP(Tabla1[[#This Row],[categoria]],Datos!$H$2:$I$21,2,0),"cat")</f>
        <v>TEX</v>
      </c>
    </row>
    <row r="73" spans="2:11" x14ac:dyDescent="0.25">
      <c r="B73" t="str">
        <f>+Tabla1[[#This Row],[dimension_id]]&amp;"_"&amp;Tabla1[[#This Row],[subdimension_id]]&amp;"_"&amp;Tabla1[[#This Row],[categoria_id]]</f>
        <v>AC_AT_TEX</v>
      </c>
      <c r="C73" s="4" t="s">
        <v>39</v>
      </c>
      <c r="D73" t="s">
        <v>40</v>
      </c>
      <c r="E73" t="s">
        <v>152</v>
      </c>
      <c r="F73" t="s">
        <v>167</v>
      </c>
      <c r="H73"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Mantenga la coherencia entre los iconos y el texto con el mismo propósito en todo el REA.</v>
      </c>
      <c r="I73" t="str">
        <f>IFERROR(VLOOKUP(Tabla1[[#This Row],[dimension]],Datos!$B$2:$C$6,2,0),"dim")</f>
        <v>AC</v>
      </c>
      <c r="J73" t="str">
        <f>IFERROR(VLOOKUP(Tabla1[[#This Row],[subdimension]],Datos!$E$2:$F$20,2,0),"subdim")</f>
        <v>AT</v>
      </c>
      <c r="K73" t="str">
        <f>IFERROR(VLOOKUP(Tabla1[[#This Row],[categoria]],Datos!$H$2:$I$21,2,0),"cat")</f>
        <v>TEX</v>
      </c>
    </row>
    <row r="74" spans="2:11" x14ac:dyDescent="0.25">
      <c r="B74" t="str">
        <f>+Tabla1[[#This Row],[dimension_id]]&amp;"_"&amp;Tabla1[[#This Row],[subdimension_id]]&amp;"_"&amp;Tabla1[[#This Row],[categoria_id]]</f>
        <v>AC_AT_TEX</v>
      </c>
      <c r="C74" s="4" t="s">
        <v>39</v>
      </c>
      <c r="D74" t="s">
        <v>40</v>
      </c>
      <c r="E74" t="s">
        <v>152</v>
      </c>
      <c r="F74" t="s">
        <v>168</v>
      </c>
      <c r="G74" t="s">
        <v>169</v>
      </c>
      <c r="H74"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Al crear una lista, utilice la función correspondiente.</v>
      </c>
      <c r="I74" t="str">
        <f>IFERROR(VLOOKUP(Tabla1[[#This Row],[dimension]],Datos!$B$2:$C$6,2,0),"dim")</f>
        <v>AC</v>
      </c>
      <c r="J74" t="str">
        <f>IFERROR(VLOOKUP(Tabla1[[#This Row],[subdimension]],Datos!$E$2:$F$20,2,0),"subdim")</f>
        <v>AT</v>
      </c>
      <c r="K74" t="str">
        <f>IFERROR(VLOOKUP(Tabla1[[#This Row],[categoria]],Datos!$H$2:$I$21,2,0),"cat")</f>
        <v>TEX</v>
      </c>
    </row>
    <row r="75" spans="2:11" x14ac:dyDescent="0.25">
      <c r="B75" t="str">
        <f>+Tabla1[[#This Row],[dimension_id]]&amp;"_"&amp;Tabla1[[#This Row],[subdimension_id]]&amp;"_"&amp;Tabla1[[#This Row],[categoria_id]]</f>
        <v>AC_AT_TEX</v>
      </c>
      <c r="C75" s="4" t="s">
        <v>39</v>
      </c>
      <c r="D75" t="s">
        <v>40</v>
      </c>
      <c r="E75" t="s">
        <v>152</v>
      </c>
      <c r="F75" t="s">
        <v>170</v>
      </c>
      <c r="G75" t="s">
        <v>171</v>
      </c>
      <c r="H75"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Asegúrese de que el texto se pueda redimensionar sin tecnología de asistencia hasta en un 200 por ciento, sin pérdida de contenido ni funcionalidad.</v>
      </c>
      <c r="I75" t="str">
        <f>IFERROR(VLOOKUP(Tabla1[[#This Row],[dimension]],Datos!$B$2:$C$6,2,0),"dim")</f>
        <v>AC</v>
      </c>
      <c r="J75" t="str">
        <f>IFERROR(VLOOKUP(Tabla1[[#This Row],[subdimension]],Datos!$E$2:$F$20,2,0),"subdim")</f>
        <v>AT</v>
      </c>
      <c r="K75" t="str">
        <f>IFERROR(VLOOKUP(Tabla1[[#This Row],[categoria]],Datos!$H$2:$I$21,2,0),"cat")</f>
        <v>TEX</v>
      </c>
    </row>
    <row r="76" spans="2:11" x14ac:dyDescent="0.25">
      <c r="B76" t="str">
        <f>+Tabla1[[#This Row],[dimension_id]]&amp;"_"&amp;Tabla1[[#This Row],[subdimension_id]]&amp;"_"&amp;Tabla1[[#This Row],[categoria_id]]</f>
        <v>AC_AT_TEX</v>
      </c>
      <c r="C76" s="4" t="s">
        <v>39</v>
      </c>
      <c r="D76" t="s">
        <v>40</v>
      </c>
      <c r="E76" t="s">
        <v>152</v>
      </c>
      <c r="F76" t="s">
        <v>172</v>
      </c>
      <c r="H76" t="str">
        <f>+"Dimensión: " &amp; Tabla1[[#This Row],[dimension]] &amp; " -- " &amp; "Subdimensión: " &amp; Tabla1[[#This Row],[subdimension]] &amp; " -- " &amp; "Categoría: " &amp; Tabla1[[#This Row],[categoria]] &amp; " -- " &amp; Tabla1[[#This Row],[recomendacion]]</f>
        <v>Dimensión: Accesibilidad -- Subdimensión: Accesibilidad tecnológica -- Categoría: Texto -- Para garantizar que la tecnología de asistencia pueda identificar el idioma del contenido, indique el idioma al principio y cuando cambie, para que el lector de pantalla pueda leerlo correctamente.</v>
      </c>
      <c r="I76" t="str">
        <f>IFERROR(VLOOKUP(Tabla1[[#This Row],[dimension]],Datos!$B$2:$C$6,2,0),"dim")</f>
        <v>AC</v>
      </c>
      <c r="J76" t="str">
        <f>IFERROR(VLOOKUP(Tabla1[[#This Row],[subdimension]],Datos!$E$2:$F$20,2,0),"subdim")</f>
        <v>AT</v>
      </c>
      <c r="K76" t="str">
        <f>IFERROR(VLOOKUP(Tabla1[[#This Row],[categoria]],Datos!$H$2:$I$21,2,0),"cat")</f>
        <v>TEX</v>
      </c>
    </row>
    <row r="77" spans="2:11" x14ac:dyDescent="0.25">
      <c r="B77" t="str">
        <f>+Tabla1[[#This Row],[dimension_id]]&amp;"_"&amp;Tabla1[[#This Row],[subdimension_id]]&amp;"_"&amp;Tabla1[[#This Row],[categoria_id]]</f>
        <v>AC_AT_IMA</v>
      </c>
      <c r="C77" s="4" t="s">
        <v>39</v>
      </c>
      <c r="D77" t="s">
        <v>40</v>
      </c>
      <c r="E77" t="s">
        <v>153</v>
      </c>
      <c r="F77" t="s">
        <v>173</v>
      </c>
      <c r="G77" t="s">
        <v>174</v>
      </c>
      <c r="H77"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Use imágenes claras, fáciles de entender y con una calidad, tamaño, resolución y brillo adecuados. Evite las imágenes borrosas.</v>
      </c>
      <c r="I77" t="str">
        <f>IFERROR(VLOOKUP(Tabla1[[#This Row],[dimension]],Datos!$B$2:$C$6,2,0),"dim")</f>
        <v>AC</v>
      </c>
      <c r="J77" t="str">
        <f>IFERROR(VLOOKUP(Tabla1[[#This Row],[subdimension]],Datos!$E$2:$F$20,2,0),"subdim")</f>
        <v>AT</v>
      </c>
      <c r="K77" t="str">
        <f>IFERROR(VLOOKUP(Tabla1[[#This Row],[categoria]],Datos!$H$2:$I$21,2,0),"cat")</f>
        <v>IMA</v>
      </c>
    </row>
    <row r="78" spans="2:11" x14ac:dyDescent="0.25">
      <c r="B78" t="str">
        <f>+Tabla1[[#This Row],[dimension_id]]&amp;"_"&amp;Tabla1[[#This Row],[subdimension_id]]&amp;"_"&amp;Tabla1[[#This Row],[categoria_id]]</f>
        <v>AC_AT_IMA</v>
      </c>
      <c r="C78" s="4" t="s">
        <v>39</v>
      </c>
      <c r="D78" t="s">
        <v>40</v>
      </c>
      <c r="E78" t="s">
        <v>153</v>
      </c>
      <c r="F78" t="s">
        <v>175</v>
      </c>
      <c r="G78" t="s">
        <v>176</v>
      </c>
      <c r="H78"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Describa todas las imágenes mediante un texto alternativo para que pueda ser leído por un lector de pantalla.</v>
      </c>
      <c r="I78" t="str">
        <f>IFERROR(VLOOKUP(Tabla1[[#This Row],[dimension]],Datos!$B$2:$C$6,2,0),"dim")</f>
        <v>AC</v>
      </c>
      <c r="J78" t="str">
        <f>IFERROR(VLOOKUP(Tabla1[[#This Row],[subdimension]],Datos!$E$2:$F$20,2,0),"subdim")</f>
        <v>AT</v>
      </c>
      <c r="K78" t="str">
        <f>IFERROR(VLOOKUP(Tabla1[[#This Row],[categoria]],Datos!$H$2:$I$21,2,0),"cat")</f>
        <v>IMA</v>
      </c>
    </row>
    <row r="79" spans="2:11" x14ac:dyDescent="0.25">
      <c r="B79" t="str">
        <f>+Tabla1[[#This Row],[dimension_id]]&amp;"_"&amp;Tabla1[[#This Row],[subdimension_id]]&amp;"_"&amp;Tabla1[[#This Row],[categoria_id]]</f>
        <v>AC_AT_IMA</v>
      </c>
      <c r="C79" s="4" t="s">
        <v>39</v>
      </c>
      <c r="D79" t="s">
        <v>40</v>
      </c>
      <c r="E79" t="s">
        <v>153</v>
      </c>
      <c r="F79" t="s">
        <v>177</v>
      </c>
      <c r="G79" t="s">
        <v>178</v>
      </c>
      <c r="H79"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Asegúrese de que haya suficiente contraste entre el fondo y el primer plano en las imágenes utilizadas.</v>
      </c>
      <c r="I79" t="str">
        <f>IFERROR(VLOOKUP(Tabla1[[#This Row],[dimension]],Datos!$B$2:$C$6,2,0),"dim")</f>
        <v>AC</v>
      </c>
      <c r="J79" t="str">
        <f>IFERROR(VLOOKUP(Tabla1[[#This Row],[subdimension]],Datos!$E$2:$F$20,2,0),"subdim")</f>
        <v>AT</v>
      </c>
      <c r="K79" t="str">
        <f>IFERROR(VLOOKUP(Tabla1[[#This Row],[categoria]],Datos!$H$2:$I$21,2,0),"cat")</f>
        <v>IMA</v>
      </c>
    </row>
    <row r="80" spans="2:11" x14ac:dyDescent="0.25">
      <c r="B80" t="str">
        <f>+Tabla1[[#This Row],[dimension_id]]&amp;"_"&amp;Tabla1[[#This Row],[subdimension_id]]&amp;"_"&amp;Tabla1[[#This Row],[categoria_id]]</f>
        <v>AC_AT_IMA</v>
      </c>
      <c r="C80" s="4" t="s">
        <v>39</v>
      </c>
      <c r="D80" t="s">
        <v>40</v>
      </c>
      <c r="E80" t="s">
        <v>153</v>
      </c>
      <c r="F80" t="s">
        <v>179</v>
      </c>
      <c r="G80" t="s">
        <v>180</v>
      </c>
      <c r="H80"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No incluya texto dentro de las imágenes.</v>
      </c>
      <c r="I80" t="str">
        <f>IFERROR(VLOOKUP(Tabla1[[#This Row],[dimension]],Datos!$B$2:$C$6,2,0),"dim")</f>
        <v>AC</v>
      </c>
      <c r="J80" t="str">
        <f>IFERROR(VLOOKUP(Tabla1[[#This Row],[subdimension]],Datos!$E$2:$F$20,2,0),"subdim")</f>
        <v>AT</v>
      </c>
      <c r="K80" t="str">
        <f>IFERROR(VLOOKUP(Tabla1[[#This Row],[categoria]],Datos!$H$2:$I$21,2,0),"cat")</f>
        <v>IMA</v>
      </c>
    </row>
    <row r="81" spans="2:11" x14ac:dyDescent="0.25">
      <c r="B81" t="str">
        <f>+Tabla1[[#This Row],[dimension_id]]&amp;"_"&amp;Tabla1[[#This Row],[subdimension_id]]&amp;"_"&amp;Tabla1[[#This Row],[categoria_id]]</f>
        <v>AC_AT_IMA</v>
      </c>
      <c r="C81" s="4" t="s">
        <v>39</v>
      </c>
      <c r="D81" t="s">
        <v>40</v>
      </c>
      <c r="E81" t="s">
        <v>153</v>
      </c>
      <c r="F81" t="s">
        <v>181</v>
      </c>
      <c r="G81" t="s">
        <v>182</v>
      </c>
      <c r="H81"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Al utilizar tablas, asegúrese de que estén bien estructuradas y claramente descritas.</v>
      </c>
      <c r="I81" t="str">
        <f>IFERROR(VLOOKUP(Tabla1[[#This Row],[dimension]],Datos!$B$2:$C$6,2,0),"dim")</f>
        <v>AC</v>
      </c>
      <c r="J81" t="str">
        <f>IFERROR(VLOOKUP(Tabla1[[#This Row],[subdimension]],Datos!$E$2:$F$20,2,0),"subdim")</f>
        <v>AT</v>
      </c>
      <c r="K81" t="str">
        <f>IFERROR(VLOOKUP(Tabla1[[#This Row],[categoria]],Datos!$H$2:$I$21,2,0),"cat")</f>
        <v>IMA</v>
      </c>
    </row>
    <row r="82" spans="2:11" x14ac:dyDescent="0.25">
      <c r="B82" t="str">
        <f>+Tabla1[[#This Row],[dimension_id]]&amp;"_"&amp;Tabla1[[#This Row],[subdimension_id]]&amp;"_"&amp;Tabla1[[#This Row],[categoria_id]]</f>
        <v>AC_AT_IMA</v>
      </c>
      <c r="C82" s="4" t="s">
        <v>39</v>
      </c>
      <c r="D82" t="s">
        <v>40</v>
      </c>
      <c r="E82" t="s">
        <v>153</v>
      </c>
      <c r="F82" t="s">
        <v>183</v>
      </c>
      <c r="G82" t="s">
        <v>184</v>
      </c>
      <c r="H82"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Cuando sea posible, use patrones u otros medios alternativos además del color para diferenciar contenidos o funcionalidades.</v>
      </c>
      <c r="I82" t="str">
        <f>IFERROR(VLOOKUP(Tabla1[[#This Row],[dimension]],Datos!$B$2:$C$6,2,0),"dim")</f>
        <v>AC</v>
      </c>
      <c r="J82" t="str">
        <f>IFERROR(VLOOKUP(Tabla1[[#This Row],[subdimension]],Datos!$E$2:$F$20,2,0),"subdim")</f>
        <v>AT</v>
      </c>
      <c r="K82" t="str">
        <f>IFERROR(VLOOKUP(Tabla1[[#This Row],[categoria]],Datos!$H$2:$I$21,2,0),"cat")</f>
        <v>IMA</v>
      </c>
    </row>
    <row r="83" spans="2:11" x14ac:dyDescent="0.25">
      <c r="B83" t="str">
        <f>+Tabla1[[#This Row],[dimension_id]]&amp;"_"&amp;Tabla1[[#This Row],[subdimension_id]]&amp;"_"&amp;Tabla1[[#This Row],[categoria_id]]</f>
        <v>AC_AT_IMA</v>
      </c>
      <c r="C83" s="4" t="s">
        <v>39</v>
      </c>
      <c r="D83" t="s">
        <v>40</v>
      </c>
      <c r="E83" t="s">
        <v>153</v>
      </c>
      <c r="F83" t="s">
        <v>185</v>
      </c>
      <c r="H83" t="str">
        <f>+"Dimensión: " &amp; Tabla1[[#This Row],[dimension]] &amp; " -- " &amp; "Subdimensión: " &amp; Tabla1[[#This Row],[subdimension]] &amp; " -- " &amp; "Categoría: " &amp; Tabla1[[#This Row],[categoria]] &amp; " -- " &amp; Tabla1[[#This Row],[recomendacion]]</f>
        <v>Dimensión: Accesibilidad -- Subdimensión: Accesibilidad tecnológica -- Categoría: Imágenes, tablas y gráficos -- Evite insertar tablas como imágenes o capturas de pantalla: créelas directamente en el documento.</v>
      </c>
      <c r="I83" t="str">
        <f>IFERROR(VLOOKUP(Tabla1[[#This Row],[dimension]],Datos!$B$2:$C$6,2,0),"dim")</f>
        <v>AC</v>
      </c>
      <c r="J83" t="str">
        <f>IFERROR(VLOOKUP(Tabla1[[#This Row],[subdimension]],Datos!$E$2:$F$20,2,0),"subdim")</f>
        <v>AT</v>
      </c>
      <c r="K83" t="str">
        <f>IFERROR(VLOOKUP(Tabla1[[#This Row],[categoria]],Datos!$H$2:$I$21,2,0),"cat")</f>
        <v>IMA</v>
      </c>
    </row>
    <row r="84" spans="2:11" x14ac:dyDescent="0.25">
      <c r="B84" t="str">
        <f>+Tabla1[[#This Row],[dimension_id]]&amp;"_"&amp;Tabla1[[#This Row],[subdimension_id]]&amp;"_"&amp;Tabla1[[#This Row],[categoria_id]]</f>
        <v>AC_AT_AUD</v>
      </c>
      <c r="C84" s="4" t="s">
        <v>39</v>
      </c>
      <c r="D84" t="s">
        <v>40</v>
      </c>
      <c r="E84" t="s">
        <v>154</v>
      </c>
      <c r="F84" t="s">
        <v>186</v>
      </c>
      <c r="G84" t="s">
        <v>187</v>
      </c>
      <c r="H84"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Asegúrese de que el audio tenga buena calidad en cuanto a tono, duración, intensidad y claridad. Si es necesario, reduzca el ruido de fondo.</v>
      </c>
      <c r="I84" t="str">
        <f>IFERROR(VLOOKUP(Tabla1[[#This Row],[dimension]],Datos!$B$2:$C$6,2,0),"dim")</f>
        <v>AC</v>
      </c>
      <c r="J84" t="str">
        <f>IFERROR(VLOOKUP(Tabla1[[#This Row],[subdimension]],Datos!$E$2:$F$20,2,0),"subdim")</f>
        <v>AT</v>
      </c>
      <c r="K84" t="str">
        <f>IFERROR(VLOOKUP(Tabla1[[#This Row],[categoria]],Datos!$H$2:$I$21,2,0),"cat")</f>
        <v>AUD</v>
      </c>
    </row>
    <row r="85" spans="2:11" x14ac:dyDescent="0.25">
      <c r="B85" t="str">
        <f>+Tabla1[[#This Row],[dimension_id]]&amp;"_"&amp;Tabla1[[#This Row],[subdimension_id]]&amp;"_"&amp;Tabla1[[#This Row],[categoria_id]]</f>
        <v>AC_AT_AUD</v>
      </c>
      <c r="C85" s="4" t="s">
        <v>39</v>
      </c>
      <c r="D85" t="s">
        <v>40</v>
      </c>
      <c r="E85" t="s">
        <v>154</v>
      </c>
      <c r="F85" t="s">
        <v>188</v>
      </c>
      <c r="G85" t="s">
        <v>189</v>
      </c>
      <c r="H85"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Evite el audio de fondo o redúcelo.</v>
      </c>
      <c r="I85" t="str">
        <f>IFERROR(VLOOKUP(Tabla1[[#This Row],[dimension]],Datos!$B$2:$C$6,2,0),"dim")</f>
        <v>AC</v>
      </c>
      <c r="J85" t="str">
        <f>IFERROR(VLOOKUP(Tabla1[[#This Row],[subdimension]],Datos!$E$2:$F$20,2,0),"subdim")</f>
        <v>AT</v>
      </c>
      <c r="K85" t="str">
        <f>IFERROR(VLOOKUP(Tabla1[[#This Row],[categoria]],Datos!$H$2:$I$21,2,0),"cat")</f>
        <v>AUD</v>
      </c>
    </row>
    <row r="86" spans="2:11" x14ac:dyDescent="0.25">
      <c r="B86" t="str">
        <f>+Tabla1[[#This Row],[dimension_id]]&amp;"_"&amp;Tabla1[[#This Row],[subdimension_id]]&amp;"_"&amp;Tabla1[[#This Row],[categoria_id]]</f>
        <v>AC_AT_AUD</v>
      </c>
      <c r="C86" s="4" t="s">
        <v>39</v>
      </c>
      <c r="D86" t="s">
        <v>40</v>
      </c>
      <c r="E86" t="s">
        <v>154</v>
      </c>
      <c r="F86" t="s">
        <v>190</v>
      </c>
      <c r="H86"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Verifique que la voz en el audio sea lenta, clara y con un volumen adecuado.</v>
      </c>
      <c r="I86" t="str">
        <f>IFERROR(VLOOKUP(Tabla1[[#This Row],[dimension]],Datos!$B$2:$C$6,2,0),"dim")</f>
        <v>AC</v>
      </c>
      <c r="J86" t="str">
        <f>IFERROR(VLOOKUP(Tabla1[[#This Row],[subdimension]],Datos!$E$2:$F$20,2,0),"subdim")</f>
        <v>AT</v>
      </c>
      <c r="K86" t="str">
        <f>IFERROR(VLOOKUP(Tabla1[[#This Row],[categoria]],Datos!$H$2:$I$21,2,0),"cat")</f>
        <v>AUD</v>
      </c>
    </row>
    <row r="87" spans="2:11" x14ac:dyDescent="0.25">
      <c r="B87" t="str">
        <f>+Tabla1[[#This Row],[dimension_id]]&amp;"_"&amp;Tabla1[[#This Row],[subdimension_id]]&amp;"_"&amp;Tabla1[[#This Row],[categoria_id]]</f>
        <v>AC_AT_AUD</v>
      </c>
      <c r="C87" s="4" t="s">
        <v>39</v>
      </c>
      <c r="D87" t="s">
        <v>40</v>
      </c>
      <c r="E87" t="s">
        <v>154</v>
      </c>
      <c r="F87" t="s">
        <v>191</v>
      </c>
      <c r="H87"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Si graba una pista de audio, asegúrese de que la voz tenga buena pronunciación y dicción, y deje pausas suficientes para que el público comprenda la información antes de continuar.</v>
      </c>
      <c r="I87" t="str">
        <f>IFERROR(VLOOKUP(Tabla1[[#This Row],[dimension]],Datos!$B$2:$C$6,2,0),"dim")</f>
        <v>AC</v>
      </c>
      <c r="J87" t="str">
        <f>IFERROR(VLOOKUP(Tabla1[[#This Row],[subdimension]],Datos!$E$2:$F$20,2,0),"subdim")</f>
        <v>AT</v>
      </c>
      <c r="K87" t="str">
        <f>IFERROR(VLOOKUP(Tabla1[[#This Row],[categoria]],Datos!$H$2:$I$21,2,0),"cat")</f>
        <v>AUD</v>
      </c>
    </row>
    <row r="88" spans="2:11" x14ac:dyDescent="0.25">
      <c r="B88" t="str">
        <f>+Tabla1[[#This Row],[dimension_id]]&amp;"_"&amp;Tabla1[[#This Row],[subdimension_id]]&amp;"_"&amp;Tabla1[[#This Row],[categoria_id]]</f>
        <v>AC_AT_AUD</v>
      </c>
      <c r="C88" s="4" t="s">
        <v>39</v>
      </c>
      <c r="D88" t="s">
        <v>40</v>
      </c>
      <c r="E88" t="s">
        <v>154</v>
      </c>
      <c r="F88" t="s">
        <v>192</v>
      </c>
      <c r="G88" t="s">
        <v>193</v>
      </c>
      <c r="H88"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Proporcione controles visibles y accesibles para pausar o detener el audio. Si es posible, incluya controles separados de volumen o silencio para efectos, voz y música de fondo.</v>
      </c>
      <c r="I88" t="str">
        <f>IFERROR(VLOOKUP(Tabla1[[#This Row],[dimension]],Datos!$B$2:$C$6,2,0),"dim")</f>
        <v>AC</v>
      </c>
      <c r="J88" t="str">
        <f>IFERROR(VLOOKUP(Tabla1[[#This Row],[subdimension]],Datos!$E$2:$F$20,2,0),"subdim")</f>
        <v>AT</v>
      </c>
      <c r="K88" t="str">
        <f>IFERROR(VLOOKUP(Tabla1[[#This Row],[categoria]],Datos!$H$2:$I$21,2,0),"cat")</f>
        <v>AUD</v>
      </c>
    </row>
    <row r="89" spans="2:11" x14ac:dyDescent="0.25">
      <c r="B89" t="str">
        <f>+Tabla1[[#This Row],[dimension_id]]&amp;"_"&amp;Tabla1[[#This Row],[subdimension_id]]&amp;"_"&amp;Tabla1[[#This Row],[categoria_id]]</f>
        <v>AC_AT_AUD</v>
      </c>
      <c r="C89" s="4" t="s">
        <v>39</v>
      </c>
      <c r="D89" t="s">
        <v>40</v>
      </c>
      <c r="E89" t="s">
        <v>154</v>
      </c>
      <c r="F89" t="s">
        <v>194</v>
      </c>
      <c r="G89" t="s">
        <v>195</v>
      </c>
      <c r="H89" t="str">
        <f>+"Dimensión: " &amp; Tabla1[[#This Row],[dimension]] &amp; " -- " &amp; "Subdimensión: " &amp; Tabla1[[#This Row],[subdimension]] &amp; " -- " &amp; "Categoría: " &amp; Tabla1[[#This Row],[categoria]] &amp; " -- " &amp; Tabla1[[#This Row],[recomendacion]]</f>
        <v>Dimensión: Accesibilidad -- Subdimensión: Accesibilidad tecnológica -- Categoría: Audio -- Si tiene estudiantes con discapacidad auditiva, incluya una transcripción textual del audio (véase el apartado 5.3: subtitulado y audiodescripción). Asegúrese también de que los estudiantes puedan controlar las alternativas textuales.</v>
      </c>
      <c r="I89" t="str">
        <f>IFERROR(VLOOKUP(Tabla1[[#This Row],[dimension]],Datos!$B$2:$C$6,2,0),"dim")</f>
        <v>AC</v>
      </c>
      <c r="J89" t="str">
        <f>IFERROR(VLOOKUP(Tabla1[[#This Row],[subdimension]],Datos!$E$2:$F$20,2,0),"subdim")</f>
        <v>AT</v>
      </c>
      <c r="K89" t="str">
        <f>IFERROR(VLOOKUP(Tabla1[[#This Row],[categoria]],Datos!$H$2:$I$21,2,0),"cat")</f>
        <v>AUD</v>
      </c>
    </row>
    <row r="90" spans="2:11" x14ac:dyDescent="0.25">
      <c r="B90" t="str">
        <f>+Tabla1[[#This Row],[dimension_id]]&amp;"_"&amp;Tabla1[[#This Row],[subdimension_id]]&amp;"_"&amp;Tabla1[[#This Row],[categoria_id]]</f>
        <v>AC_AT_VID</v>
      </c>
      <c r="C90" s="4" t="s">
        <v>39</v>
      </c>
      <c r="D90" t="s">
        <v>40</v>
      </c>
      <c r="E90" t="s">
        <v>155</v>
      </c>
      <c r="F90" t="s">
        <v>196</v>
      </c>
      <c r="H90"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Asegúrese de que el vídeo y el sonido sean claros y de alta calidad.</v>
      </c>
      <c r="I90" t="str">
        <f>IFERROR(VLOOKUP(Tabla1[[#This Row],[dimension]],Datos!$B$2:$C$6,2,0),"dim")</f>
        <v>AC</v>
      </c>
      <c r="J90" t="str">
        <f>IFERROR(VLOOKUP(Tabla1[[#This Row],[subdimension]],Datos!$E$2:$F$20,2,0),"subdim")</f>
        <v>AT</v>
      </c>
      <c r="K90" t="str">
        <f>IFERROR(VLOOKUP(Tabla1[[#This Row],[categoria]],Datos!$H$2:$I$21,2,0),"cat")</f>
        <v>VID</v>
      </c>
    </row>
    <row r="91" spans="2:11" x14ac:dyDescent="0.25">
      <c r="B91" t="str">
        <f>+Tabla1[[#This Row],[dimension_id]]&amp;"_"&amp;Tabla1[[#This Row],[subdimension_id]]&amp;"_"&amp;Tabla1[[#This Row],[categoria_id]]</f>
        <v>AC_AT_VID</v>
      </c>
      <c r="C91" s="4" t="s">
        <v>39</v>
      </c>
      <c r="D91" t="s">
        <v>40</v>
      </c>
      <c r="E91" t="s">
        <v>155</v>
      </c>
      <c r="F91" t="s">
        <v>197</v>
      </c>
      <c r="G91" t="s">
        <v>198</v>
      </c>
      <c r="H91"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Proporcione alternativas sincronizadas para el vídeo.</v>
      </c>
      <c r="I91" t="str">
        <f>IFERROR(VLOOKUP(Tabla1[[#This Row],[dimension]],Datos!$B$2:$C$6,2,0),"dim")</f>
        <v>AC</v>
      </c>
      <c r="J91" t="str">
        <f>IFERROR(VLOOKUP(Tabla1[[#This Row],[subdimension]],Datos!$E$2:$F$20,2,0),"subdim")</f>
        <v>AT</v>
      </c>
      <c r="K91" t="str">
        <f>IFERROR(VLOOKUP(Tabla1[[#This Row],[categoria]],Datos!$H$2:$I$21,2,0),"cat")</f>
        <v>VID</v>
      </c>
    </row>
    <row r="92" spans="2:11" x14ac:dyDescent="0.25">
      <c r="B92" t="str">
        <f>+Tabla1[[#This Row],[dimension_id]]&amp;"_"&amp;Tabla1[[#This Row],[subdimension_id]]&amp;"_"&amp;Tabla1[[#This Row],[categoria_id]]</f>
        <v>AC_AT_VID</v>
      </c>
      <c r="C92" s="4" t="s">
        <v>39</v>
      </c>
      <c r="D92" t="s">
        <v>40</v>
      </c>
      <c r="E92" t="s">
        <v>155</v>
      </c>
      <c r="F92" t="s">
        <v>199</v>
      </c>
      <c r="H92"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Proporcione una descripción textual y transcripción del vídeo.</v>
      </c>
      <c r="I92" t="str">
        <f>IFERROR(VLOOKUP(Tabla1[[#This Row],[dimension]],Datos!$B$2:$C$6,2,0),"dim")</f>
        <v>AC</v>
      </c>
      <c r="J92" t="str">
        <f>IFERROR(VLOOKUP(Tabla1[[#This Row],[subdimension]],Datos!$E$2:$F$20,2,0),"subdim")</f>
        <v>AT</v>
      </c>
      <c r="K92" t="str">
        <f>IFERROR(VLOOKUP(Tabla1[[#This Row],[categoria]],Datos!$H$2:$I$21,2,0),"cat")</f>
        <v>VID</v>
      </c>
    </row>
    <row r="93" spans="2:11" x14ac:dyDescent="0.25">
      <c r="B93" t="str">
        <f>+Tabla1[[#This Row],[dimension_id]]&amp;"_"&amp;Tabla1[[#This Row],[subdimension_id]]&amp;"_"&amp;Tabla1[[#This Row],[categoria_id]]</f>
        <v>AC_AT_VID</v>
      </c>
      <c r="C93" s="4" t="s">
        <v>39</v>
      </c>
      <c r="D93" t="s">
        <v>40</v>
      </c>
      <c r="E93" t="s">
        <v>155</v>
      </c>
      <c r="F93" t="s">
        <v>200</v>
      </c>
      <c r="G93" t="s">
        <v>201</v>
      </c>
      <c r="H93"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Garantice que los estudiantes tengan control sobre la gestión de la reproducción del vídeo y sus alternativas.</v>
      </c>
      <c r="I93" t="str">
        <f>IFERROR(VLOOKUP(Tabla1[[#This Row],[dimension]],Datos!$B$2:$C$6,2,0),"dim")</f>
        <v>AC</v>
      </c>
      <c r="J93" t="str">
        <f>IFERROR(VLOOKUP(Tabla1[[#This Row],[subdimension]],Datos!$E$2:$F$20,2,0),"subdim")</f>
        <v>AT</v>
      </c>
      <c r="K93" t="str">
        <f>IFERROR(VLOOKUP(Tabla1[[#This Row],[categoria]],Datos!$H$2:$I$21,2,0),"cat")</f>
        <v>VID</v>
      </c>
    </row>
    <row r="94" spans="2:11" x14ac:dyDescent="0.25">
      <c r="B94" t="str">
        <f>+Tabla1[[#This Row],[dimension_id]]&amp;"_"&amp;Tabla1[[#This Row],[subdimension_id]]&amp;"_"&amp;Tabla1[[#This Row],[categoria_id]]</f>
        <v>AC_AT_VID</v>
      </c>
      <c r="C94" s="4" t="s">
        <v>39</v>
      </c>
      <c r="D94" t="s">
        <v>40</v>
      </c>
      <c r="E94" t="s">
        <v>155</v>
      </c>
      <c r="F94" t="s">
        <v>202</v>
      </c>
      <c r="H94"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Asegúrese de que haya suficiente contraste entre el fondo y el primer plano del vídeo.</v>
      </c>
      <c r="I94" t="str">
        <f>IFERROR(VLOOKUP(Tabla1[[#This Row],[dimension]],Datos!$B$2:$C$6,2,0),"dim")</f>
        <v>AC</v>
      </c>
      <c r="J94" t="str">
        <f>IFERROR(VLOOKUP(Tabla1[[#This Row],[subdimension]],Datos!$E$2:$F$20,2,0),"subdim")</f>
        <v>AT</v>
      </c>
      <c r="K94" t="str">
        <f>IFERROR(VLOOKUP(Tabla1[[#This Row],[categoria]],Datos!$H$2:$I$21,2,0),"cat")</f>
        <v>VID</v>
      </c>
    </row>
    <row r="95" spans="2:11" x14ac:dyDescent="0.25">
      <c r="B95" t="str">
        <f>+Tabla1[[#This Row],[dimension_id]]&amp;"_"&amp;Tabla1[[#This Row],[subdimension_id]]&amp;"_"&amp;Tabla1[[#This Row],[categoria_id]]</f>
        <v>AC_AT_VID</v>
      </c>
      <c r="C95" s="4" t="s">
        <v>39</v>
      </c>
      <c r="D95" t="s">
        <v>40</v>
      </c>
      <c r="E95" t="s">
        <v>155</v>
      </c>
      <c r="F95" t="s">
        <v>203</v>
      </c>
      <c r="H95" t="str">
        <f>+"Dimensión: " &amp; Tabla1[[#This Row],[dimension]] &amp; " -- " &amp; "Subdimensión: " &amp; Tabla1[[#This Row],[subdimension]] &amp; " -- " &amp; "Categoría: " &amp; Tabla1[[#This Row],[categoria]] &amp; " -- " &amp; Tabla1[[#This Row],[recomendacion]]</f>
        <v>Dimensión: Accesibilidad -- Subdimensión: Accesibilidad tecnológica -- Categoría: Vídeo -- Evite la cámara lenta y rápida.</v>
      </c>
      <c r="I95" t="str">
        <f>IFERROR(VLOOKUP(Tabla1[[#This Row],[dimension]],Datos!$B$2:$C$6,2,0),"dim")</f>
        <v>AC</v>
      </c>
      <c r="J95" t="str">
        <f>IFERROR(VLOOKUP(Tabla1[[#This Row],[subdimension]],Datos!$E$2:$F$20,2,0),"subdim")</f>
        <v>AT</v>
      </c>
      <c r="K95" t="str">
        <f>IFERROR(VLOOKUP(Tabla1[[#This Row],[categoria]],Datos!$H$2:$I$21,2,0),"cat")</f>
        <v>VID</v>
      </c>
    </row>
    <row r="96" spans="2:11" x14ac:dyDescent="0.25">
      <c r="B96" t="str">
        <f>+Tabla1[[#This Row],[dimension_id]]&amp;"_"&amp;Tabla1[[#This Row],[subdimension_id]]&amp;"_"&amp;Tabla1[[#This Row],[categoria_id]]</f>
        <v>AC_AT_WEB</v>
      </c>
      <c r="C96" s="4" t="s">
        <v>39</v>
      </c>
      <c r="D96" t="s">
        <v>40</v>
      </c>
      <c r="E96" t="s">
        <v>156</v>
      </c>
      <c r="F96" t="s">
        <v>204</v>
      </c>
      <c r="G96" t="s">
        <v>205</v>
      </c>
      <c r="H96"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Al elaborar el contenido, evite las elecciones de diseño que tienden a provocar convulsiones o reacciones físicas.</v>
      </c>
      <c r="I96" t="str">
        <f>IFERROR(VLOOKUP(Tabla1[[#This Row],[dimension]],Datos!$B$2:$C$6,2,0),"dim")</f>
        <v>AC</v>
      </c>
      <c r="J96" t="str">
        <f>IFERROR(VLOOKUP(Tabla1[[#This Row],[subdimension]],Datos!$E$2:$F$20,2,0),"subdim")</f>
        <v>AT</v>
      </c>
      <c r="K96" t="str">
        <f>IFERROR(VLOOKUP(Tabla1[[#This Row],[categoria]],Datos!$H$2:$I$21,2,0),"cat")</f>
        <v>WEB</v>
      </c>
    </row>
    <row r="97" spans="2:11" x14ac:dyDescent="0.25">
      <c r="B97" t="str">
        <f>+Tabla1[[#This Row],[dimension_id]]&amp;"_"&amp;Tabla1[[#This Row],[subdimension_id]]&amp;"_"&amp;Tabla1[[#This Row],[categoria_id]]</f>
        <v>AC_AT_WEB</v>
      </c>
      <c r="C97" s="4" t="s">
        <v>39</v>
      </c>
      <c r="D97" t="s">
        <v>40</v>
      </c>
      <c r="E97" t="s">
        <v>156</v>
      </c>
      <c r="F97" t="s">
        <v>206</v>
      </c>
      <c r="G97" t="s">
        <v>207</v>
      </c>
      <c r="H97"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Mantenga la coherencia en la identificación y apariencia (forma, tamaño, color, ubicación, etc.) de los elementos que tienen la misma funcionalidad (enlaces, iconos, botones, etc.) en todo el sitio web, la aplicación o el documento.</v>
      </c>
      <c r="I97" t="str">
        <f>IFERROR(VLOOKUP(Tabla1[[#This Row],[dimension]],Datos!$B$2:$C$6,2,0),"dim")</f>
        <v>AC</v>
      </c>
      <c r="J97" t="str">
        <f>IFERROR(VLOOKUP(Tabla1[[#This Row],[subdimension]],Datos!$E$2:$F$20,2,0),"subdim")</f>
        <v>AT</v>
      </c>
      <c r="K97" t="str">
        <f>IFERROR(VLOOKUP(Tabla1[[#This Row],[categoria]],Datos!$H$2:$I$21,2,0),"cat")</f>
        <v>WEB</v>
      </c>
    </row>
    <row r="98" spans="2:11" x14ac:dyDescent="0.25">
      <c r="B98" t="str">
        <f>+Tabla1[[#This Row],[dimension_id]]&amp;"_"&amp;Tabla1[[#This Row],[subdimension_id]]&amp;"_"&amp;Tabla1[[#This Row],[categoria_id]]</f>
        <v>AC_AT_WEB</v>
      </c>
      <c r="C98" s="4" t="s">
        <v>39</v>
      </c>
      <c r="D98" t="s">
        <v>40</v>
      </c>
      <c r="E98" t="s">
        <v>156</v>
      </c>
      <c r="F98" t="s">
        <v>208</v>
      </c>
      <c r="G98" t="s">
        <v>209</v>
      </c>
      <c r="H98"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Resalte visualmente los elementos interactivos, como los hipervínculos, los botones, las listas, los menús y los cuadros de diálogo. En el caso de los hipervínculos, aclare adónde dirigen.</v>
      </c>
      <c r="I98" t="str">
        <f>IFERROR(VLOOKUP(Tabla1[[#This Row],[dimension]],Datos!$B$2:$C$6,2,0),"dim")</f>
        <v>AC</v>
      </c>
      <c r="J98" t="str">
        <f>IFERROR(VLOOKUP(Tabla1[[#This Row],[subdimension]],Datos!$E$2:$F$20,2,0),"subdim")</f>
        <v>AT</v>
      </c>
      <c r="K98" t="str">
        <f>IFERROR(VLOOKUP(Tabla1[[#This Row],[categoria]],Datos!$H$2:$I$21,2,0),"cat")</f>
        <v>WEB</v>
      </c>
    </row>
    <row r="99" spans="2:11" x14ac:dyDescent="0.25">
      <c r="B99" t="str">
        <f>+Tabla1[[#This Row],[dimension_id]]&amp;"_"&amp;Tabla1[[#This Row],[subdimension_id]]&amp;"_"&amp;Tabla1[[#This Row],[categoria_id]]</f>
        <v>AC_AT_WEB</v>
      </c>
      <c r="C99" s="4" t="s">
        <v>39</v>
      </c>
      <c r="D99" t="s">
        <v>40</v>
      </c>
      <c r="E99" t="s">
        <v>156</v>
      </c>
      <c r="F99" t="s">
        <v>210</v>
      </c>
      <c r="G99" t="s">
        <v>211</v>
      </c>
      <c r="H99"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Asegúrese de que los elementos interactivos y los controles virtuales sean grandes y estén bien espaciados, sobre todo en pantallas pequeñas o táctiles, o que puedan ajustarse en tamaño para mejorar la experiencia interactiva de los estudiantes.</v>
      </c>
      <c r="I99" t="str">
        <f>IFERROR(VLOOKUP(Tabla1[[#This Row],[dimension]],Datos!$B$2:$C$6,2,0),"dim")</f>
        <v>AC</v>
      </c>
      <c r="J99" t="str">
        <f>IFERROR(VLOOKUP(Tabla1[[#This Row],[subdimension]],Datos!$E$2:$F$20,2,0),"subdim")</f>
        <v>AT</v>
      </c>
      <c r="K99" t="str">
        <f>IFERROR(VLOOKUP(Tabla1[[#This Row],[categoria]],Datos!$H$2:$I$21,2,0),"cat")</f>
        <v>WEB</v>
      </c>
    </row>
    <row r="100" spans="2:11" x14ac:dyDescent="0.25">
      <c r="B100" t="str">
        <f>+Tabla1[[#This Row],[dimension_id]]&amp;"_"&amp;Tabla1[[#This Row],[subdimension_id]]&amp;"_"&amp;Tabla1[[#This Row],[categoria_id]]</f>
        <v>AC_AT_WEB</v>
      </c>
      <c r="C100" s="4" t="s">
        <v>39</v>
      </c>
      <c r="D100" t="s">
        <v>40</v>
      </c>
      <c r="E100" t="s">
        <v>156</v>
      </c>
      <c r="F100" t="s">
        <v>212</v>
      </c>
      <c r="G100" t="s">
        <v>213</v>
      </c>
      <c r="H100"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Ofrezca opciones para pausar, detener u ocultar cualquier información que se mueva, parpadee, se actualice automáticamente o se desplace, siempre que sea posible, cuando cumpla alguno de los siguientes criterios: (1) se inicia automáticamente, (2) dura más de cinco segundos o (3) se muestra simultáneamente con otros contenidos.</v>
      </c>
      <c r="I100" t="str">
        <f>IFERROR(VLOOKUP(Tabla1[[#This Row],[dimension]],Datos!$B$2:$C$6,2,0),"dim")</f>
        <v>AC</v>
      </c>
      <c r="J100" t="str">
        <f>IFERROR(VLOOKUP(Tabla1[[#This Row],[subdimension]],Datos!$E$2:$F$20,2,0),"subdim")</f>
        <v>AT</v>
      </c>
      <c r="K100" t="str">
        <f>IFERROR(VLOOKUP(Tabla1[[#This Row],[categoria]],Datos!$H$2:$I$21,2,0),"cat")</f>
        <v>WEB</v>
      </c>
    </row>
    <row r="101" spans="2:11" x14ac:dyDescent="0.25">
      <c r="B101" t="str">
        <f>+Tabla1[[#This Row],[dimension_id]]&amp;"_"&amp;Tabla1[[#This Row],[subdimension_id]]&amp;"_"&amp;Tabla1[[#This Row],[categoria_id]]</f>
        <v>AC_AT_WEB</v>
      </c>
      <c r="C101" s="4" t="s">
        <v>39</v>
      </c>
      <c r="D101" t="s">
        <v>40</v>
      </c>
      <c r="E101" t="s">
        <v>156</v>
      </c>
      <c r="F101" t="s">
        <v>214</v>
      </c>
      <c r="H101"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Garantice que todo el contenido y las funcionalidades de los distintos controles estén disponibles para las tecnologías de asistencia, como los lectores de pantalla.</v>
      </c>
      <c r="I101" t="str">
        <f>IFERROR(VLOOKUP(Tabla1[[#This Row],[dimension]],Datos!$B$2:$C$6,2,0),"dim")</f>
        <v>AC</v>
      </c>
      <c r="J101" t="str">
        <f>IFERROR(VLOOKUP(Tabla1[[#This Row],[subdimension]],Datos!$E$2:$F$20,2,0),"subdim")</f>
        <v>AT</v>
      </c>
      <c r="K101" t="str">
        <f>IFERROR(VLOOKUP(Tabla1[[#This Row],[categoria]],Datos!$H$2:$I$21,2,0),"cat")</f>
        <v>WEB</v>
      </c>
    </row>
    <row r="102" spans="2:11" x14ac:dyDescent="0.25">
      <c r="B102" t="str">
        <f>+Tabla1[[#This Row],[dimension_id]]&amp;"_"&amp;Tabla1[[#This Row],[subdimension_id]]&amp;"_"&amp;Tabla1[[#This Row],[categoria_id]]</f>
        <v>AC_AT_WEB</v>
      </c>
      <c r="C102" s="4" t="s">
        <v>39</v>
      </c>
      <c r="D102" t="s">
        <v>40</v>
      </c>
      <c r="E102" t="s">
        <v>156</v>
      </c>
      <c r="F102" t="s">
        <v>215</v>
      </c>
      <c r="G102" t="s">
        <v>216</v>
      </c>
      <c r="H102"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Compruebe que los elementos del entorno de aprendizaje (por ejemplo, los botones) cambian de estado y posición solo cuando es necesario, ya que esto ayuda a evitar la confusión.</v>
      </c>
      <c r="I102" t="str">
        <f>IFERROR(VLOOKUP(Tabla1[[#This Row],[dimension]],Datos!$B$2:$C$6,2,0),"dim")</f>
        <v>AC</v>
      </c>
      <c r="J102" t="str">
        <f>IFERROR(VLOOKUP(Tabla1[[#This Row],[subdimension]],Datos!$E$2:$F$20,2,0),"subdim")</f>
        <v>AT</v>
      </c>
      <c r="K102" t="str">
        <f>IFERROR(VLOOKUP(Tabla1[[#This Row],[categoria]],Datos!$H$2:$I$21,2,0),"cat")</f>
        <v>WEB</v>
      </c>
    </row>
    <row r="103" spans="2:11" x14ac:dyDescent="0.25">
      <c r="B103" t="str">
        <f>+Tabla1[[#This Row],[dimension_id]]&amp;"_"&amp;Tabla1[[#This Row],[subdimension_id]]&amp;"_"&amp;Tabla1[[#This Row],[categoria_id]]</f>
        <v>AC_AT_WEB</v>
      </c>
      <c r="C103" s="4" t="s">
        <v>39</v>
      </c>
      <c r="D103" t="s">
        <v>40</v>
      </c>
      <c r="E103" t="s">
        <v>156</v>
      </c>
      <c r="F103" t="s">
        <v>217</v>
      </c>
      <c r="G103" t="s">
        <v>218</v>
      </c>
      <c r="H103"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Permita a los estudiantes comprobar su progreso, indicando, por ejemplo, qué partes han completado con éxito.</v>
      </c>
      <c r="I103" t="str">
        <f>IFERROR(VLOOKUP(Tabla1[[#This Row],[dimension]],Datos!$B$2:$C$6,2,0),"dim")</f>
        <v>AC</v>
      </c>
      <c r="J103" t="str">
        <f>IFERROR(VLOOKUP(Tabla1[[#This Row],[subdimension]],Datos!$E$2:$F$20,2,0),"subdim")</f>
        <v>AT</v>
      </c>
      <c r="K103" t="str">
        <f>IFERROR(VLOOKUP(Tabla1[[#This Row],[categoria]],Datos!$H$2:$I$21,2,0),"cat")</f>
        <v>WEB</v>
      </c>
    </row>
    <row r="104" spans="2:11" x14ac:dyDescent="0.25">
      <c r="B104" t="str">
        <f>+Tabla1[[#This Row],[dimension_id]]&amp;"_"&amp;Tabla1[[#This Row],[subdimension_id]]&amp;"_"&amp;Tabla1[[#This Row],[categoria_id]]</f>
        <v>AC_AT_WEB</v>
      </c>
      <c r="C104" s="4" t="s">
        <v>39</v>
      </c>
      <c r="D104" t="s">
        <v>40</v>
      </c>
      <c r="E104" t="s">
        <v>156</v>
      </c>
      <c r="F104" t="s">
        <v>219</v>
      </c>
      <c r="G104" t="s">
        <v>220</v>
      </c>
      <c r="H104"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Permita a los estudiantes guardar su progreso para que puedan retomar su trabajo más tarde.</v>
      </c>
      <c r="I104" t="str">
        <f>IFERROR(VLOOKUP(Tabla1[[#This Row],[dimension]],Datos!$B$2:$C$6,2,0),"dim")</f>
        <v>AC</v>
      </c>
      <c r="J104" t="str">
        <f>IFERROR(VLOOKUP(Tabla1[[#This Row],[subdimension]],Datos!$E$2:$F$20,2,0),"subdim")</f>
        <v>AT</v>
      </c>
      <c r="K104" t="str">
        <f>IFERROR(VLOOKUP(Tabla1[[#This Row],[categoria]],Datos!$H$2:$I$21,2,0),"cat")</f>
        <v>WEB</v>
      </c>
    </row>
    <row r="105" spans="2:11" x14ac:dyDescent="0.25">
      <c r="B105" t="str">
        <f>+Tabla1[[#This Row],[dimension_id]]&amp;"_"&amp;Tabla1[[#This Row],[subdimension_id]]&amp;"_"&amp;Tabla1[[#This Row],[categoria_id]]</f>
        <v>AC_AT_WEB</v>
      </c>
      <c r="C105" s="4" t="s">
        <v>39</v>
      </c>
      <c r="D105" t="s">
        <v>40</v>
      </c>
      <c r="E105" t="s">
        <v>156</v>
      </c>
      <c r="F105" t="s">
        <v>221</v>
      </c>
      <c r="G105" t="s">
        <v>222</v>
      </c>
      <c r="H105"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Incluya un mecanismo para revisar, confirmar y corregir la información antes de que los estudiantes finalicen el envío de datos.</v>
      </c>
      <c r="I105" t="str">
        <f>IFERROR(VLOOKUP(Tabla1[[#This Row],[dimension]],Datos!$B$2:$C$6,2,0),"dim")</f>
        <v>AC</v>
      </c>
      <c r="J105" t="str">
        <f>IFERROR(VLOOKUP(Tabla1[[#This Row],[subdimension]],Datos!$E$2:$F$20,2,0),"subdim")</f>
        <v>AT</v>
      </c>
      <c r="K105" t="str">
        <f>IFERROR(VLOOKUP(Tabla1[[#This Row],[categoria]],Datos!$H$2:$I$21,2,0),"cat")</f>
        <v>WEB</v>
      </c>
    </row>
    <row r="106" spans="2:11" x14ac:dyDescent="0.25">
      <c r="B106" t="str">
        <f>+Tabla1[[#This Row],[dimension_id]]&amp;"_"&amp;Tabla1[[#This Row],[subdimension_id]]&amp;"_"&amp;Tabla1[[#This Row],[categoria_id]]</f>
        <v>AC_AT_WEB</v>
      </c>
      <c r="C106" s="4" t="s">
        <v>39</v>
      </c>
      <c r="D106" t="s">
        <v>40</v>
      </c>
      <c r="E106" t="s">
        <v>156</v>
      </c>
      <c r="F106" t="s">
        <v>223</v>
      </c>
      <c r="G106" t="s">
        <v>224</v>
      </c>
      <c r="H106"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Asegúrese de que cada sección o pantalla del sitio web o aplicación incluye un título o encabezamiento y de que el orden es intuitivo y guía al estudiante paso a paso por el REA.</v>
      </c>
      <c r="I106" t="str">
        <f>IFERROR(VLOOKUP(Tabla1[[#This Row],[dimension]],Datos!$B$2:$C$6,2,0),"dim")</f>
        <v>AC</v>
      </c>
      <c r="J106" t="str">
        <f>IFERROR(VLOOKUP(Tabla1[[#This Row],[subdimension]],Datos!$E$2:$F$20,2,0),"subdim")</f>
        <v>AT</v>
      </c>
      <c r="K106" t="str">
        <f>IFERROR(VLOOKUP(Tabla1[[#This Row],[categoria]],Datos!$H$2:$I$21,2,0),"cat")</f>
        <v>WEB</v>
      </c>
    </row>
    <row r="107" spans="2:11" x14ac:dyDescent="0.25">
      <c r="B107" t="str">
        <f>+Tabla1[[#This Row],[dimension_id]]&amp;"_"&amp;Tabla1[[#This Row],[subdimension_id]]&amp;"_"&amp;Tabla1[[#This Row],[categoria_id]]</f>
        <v>AC_AT_WEB</v>
      </c>
      <c r="C107" s="4" t="s">
        <v>39</v>
      </c>
      <c r="D107" t="s">
        <v>40</v>
      </c>
      <c r="E107" t="s">
        <v>156</v>
      </c>
      <c r="F107" t="s">
        <v>225</v>
      </c>
      <c r="H107"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Garantice que la funcionalidad de cada material educativo digital sea fácil de manejar a través de dispositivos de entrada estándar (teclado, ratón) y también a través de otros no estándar que utilicen tecnología de apoyo adicional (botones, emuladores, etc.).</v>
      </c>
      <c r="I107" t="str">
        <f>IFERROR(VLOOKUP(Tabla1[[#This Row],[dimension]],Datos!$B$2:$C$6,2,0),"dim")</f>
        <v>AC</v>
      </c>
      <c r="J107" t="str">
        <f>IFERROR(VLOOKUP(Tabla1[[#This Row],[subdimension]],Datos!$E$2:$F$20,2,0),"subdim")</f>
        <v>AT</v>
      </c>
      <c r="K107" t="str">
        <f>IFERROR(VLOOKUP(Tabla1[[#This Row],[categoria]],Datos!$H$2:$I$21,2,0),"cat")</f>
        <v>WEB</v>
      </c>
    </row>
    <row r="108" spans="2:11" x14ac:dyDescent="0.25">
      <c r="B108" t="str">
        <f>+Tabla1[[#This Row],[dimension_id]]&amp;"_"&amp;Tabla1[[#This Row],[subdimension_id]]&amp;"_"&amp;Tabla1[[#This Row],[categoria_id]]</f>
        <v>AC_AT_WEB</v>
      </c>
      <c r="C108" s="4" t="s">
        <v>39</v>
      </c>
      <c r="D108" t="s">
        <v>40</v>
      </c>
      <c r="E108" t="s">
        <v>156</v>
      </c>
      <c r="F108" t="s">
        <v>226</v>
      </c>
      <c r="G108" t="s">
        <v>227</v>
      </c>
      <c r="H108"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Reduzca la activación accidental de controles.</v>
      </c>
      <c r="I108" t="str">
        <f>IFERROR(VLOOKUP(Tabla1[[#This Row],[dimension]],Datos!$B$2:$C$6,2,0),"dim")</f>
        <v>AC</v>
      </c>
      <c r="J108" t="str">
        <f>IFERROR(VLOOKUP(Tabla1[[#This Row],[subdimension]],Datos!$E$2:$F$20,2,0),"subdim")</f>
        <v>AT</v>
      </c>
      <c r="K108" t="str">
        <f>IFERROR(VLOOKUP(Tabla1[[#This Row],[categoria]],Datos!$H$2:$I$21,2,0),"cat")</f>
        <v>WEB</v>
      </c>
    </row>
    <row r="109" spans="2:11" x14ac:dyDescent="0.25">
      <c r="B109" t="str">
        <f>+Tabla1[[#This Row],[dimension_id]]&amp;"_"&amp;Tabla1[[#This Row],[subdimension_id]]&amp;"_"&amp;Tabla1[[#This Row],[categoria_id]]</f>
        <v>AC_AT_WEB</v>
      </c>
      <c r="C109" s="4" t="s">
        <v>39</v>
      </c>
      <c r="D109" t="s">
        <v>40</v>
      </c>
      <c r="E109" t="s">
        <v>156</v>
      </c>
      <c r="F109" t="s">
        <v>228</v>
      </c>
      <c r="G109" t="s">
        <v>229</v>
      </c>
      <c r="H109"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Asegúrese de que los formularios sean fáciles de rellenar y proporcione herramientas para ayudar a los estudiantes a cumplimentarlos, junto con opciones para evitar y/o corregir cualquier error durante el proceso.</v>
      </c>
      <c r="I109" t="str">
        <f>IFERROR(VLOOKUP(Tabla1[[#This Row],[dimension]],Datos!$B$2:$C$6,2,0),"dim")</f>
        <v>AC</v>
      </c>
      <c r="J109" t="str">
        <f>IFERROR(VLOOKUP(Tabla1[[#This Row],[subdimension]],Datos!$E$2:$F$20,2,0),"subdim")</f>
        <v>AT</v>
      </c>
      <c r="K109" t="str">
        <f>IFERROR(VLOOKUP(Tabla1[[#This Row],[categoria]],Datos!$H$2:$I$21,2,0),"cat")</f>
        <v>WEB</v>
      </c>
    </row>
    <row r="110" spans="2:11" x14ac:dyDescent="0.25">
      <c r="B110" t="str">
        <f>+Tabla1[[#This Row],[dimension_id]]&amp;"_"&amp;Tabla1[[#This Row],[subdimension_id]]&amp;"_"&amp;Tabla1[[#This Row],[categoria_id]]</f>
        <v>AC_AT_WEB</v>
      </c>
      <c r="C110" s="4" t="s">
        <v>39</v>
      </c>
      <c r="D110" t="s">
        <v>40</v>
      </c>
      <c r="E110" t="s">
        <v>156</v>
      </c>
      <c r="F110" t="s">
        <v>230</v>
      </c>
      <c r="G110" t="s">
        <v>231</v>
      </c>
      <c r="H110"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Proporcione tecnologías de asistencia con apoyo oficial que ya sean plenamente accesibles. Garantice que las herramientas de terceros que se utilicen sean accesibles.</v>
      </c>
      <c r="I110" t="str">
        <f>IFERROR(VLOOKUP(Tabla1[[#This Row],[dimension]],Datos!$B$2:$C$6,2,0),"dim")</f>
        <v>AC</v>
      </c>
      <c r="J110" t="str">
        <f>IFERROR(VLOOKUP(Tabla1[[#This Row],[subdimension]],Datos!$E$2:$F$20,2,0),"subdim")</f>
        <v>AT</v>
      </c>
      <c r="K110" t="str">
        <f>IFERROR(VLOOKUP(Tabla1[[#This Row],[categoria]],Datos!$H$2:$I$21,2,0),"cat")</f>
        <v>WEB</v>
      </c>
    </row>
    <row r="111" spans="2:11" x14ac:dyDescent="0.25">
      <c r="B111" t="str">
        <f>+Tabla1[[#This Row],[dimension_id]]&amp;"_"&amp;Tabla1[[#This Row],[subdimension_id]]&amp;"_"&amp;Tabla1[[#This Row],[categoria_id]]</f>
        <v>AC_AT_WEB</v>
      </c>
      <c r="C111" s="4" t="s">
        <v>39</v>
      </c>
      <c r="D111" t="s">
        <v>40</v>
      </c>
      <c r="E111" t="s">
        <v>156</v>
      </c>
      <c r="F111" t="s">
        <v>204</v>
      </c>
      <c r="G111" t="s">
        <v>205</v>
      </c>
      <c r="H111" t="str">
        <f>+"Dimensión: " &amp; Tabla1[[#This Row],[dimension]] &amp; " -- " &amp; "Subdimensión: " &amp; Tabla1[[#This Row],[subdimension]] &amp; " -- " &amp; "Categoría: " &amp; Tabla1[[#This Row],[categoria]] &amp; " -- " &amp; Tabla1[[#This Row],[recomendacion]]</f>
        <v>Dimensión: Accesibilidad -- Subdimensión: Accesibilidad tecnológica -- Categoría: Sitios web y apps -- Al elaborar el contenido, evite las elecciones de diseño que tienden a provocar convulsiones o reacciones físicas.</v>
      </c>
      <c r="I111" t="str">
        <f>IFERROR(VLOOKUP(Tabla1[[#This Row],[dimension]],Datos!$B$2:$C$6,2,0),"dim")</f>
        <v>AC</v>
      </c>
      <c r="J111" t="str">
        <f>IFERROR(VLOOKUP(Tabla1[[#This Row],[subdimension]],Datos!$E$2:$F$20,2,0),"subdim")</f>
        <v>AT</v>
      </c>
      <c r="K111" t="str">
        <f>IFERROR(VLOOKUP(Tabla1[[#This Row],[categoria]],Datos!$H$2:$I$21,2,0),"cat")</f>
        <v>WEB</v>
      </c>
    </row>
    <row r="112" spans="2:11" x14ac:dyDescent="0.25">
      <c r="B112" t="str">
        <f>+Tabla1[[#This Row],[dimension_id]]&amp;"_"&amp;Tabla1[[#This Row],[subdimension_id]]&amp;"_"&amp;Tabla1[[#This Row],[categoria_id]]</f>
        <v>AC_AT_JUE</v>
      </c>
      <c r="C112" s="4" t="s">
        <v>39</v>
      </c>
      <c r="D112" t="s">
        <v>40</v>
      </c>
      <c r="E112" t="s">
        <v>157</v>
      </c>
      <c r="F112" t="s">
        <v>232</v>
      </c>
      <c r="G112" t="s">
        <v>233</v>
      </c>
      <c r="H112"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Compruebe que el juego es accesible para todos los estudiantes de la clase.</v>
      </c>
      <c r="I112" t="str">
        <f>IFERROR(VLOOKUP(Tabla1[[#This Row],[dimension]],Datos!$B$2:$C$6,2,0),"dim")</f>
        <v>AC</v>
      </c>
      <c r="J112" t="str">
        <f>IFERROR(VLOOKUP(Tabla1[[#This Row],[subdimension]],Datos!$E$2:$F$20,2,0),"subdim")</f>
        <v>AT</v>
      </c>
      <c r="K112" t="str">
        <f>IFERROR(VLOOKUP(Tabla1[[#This Row],[categoria]],Datos!$H$2:$I$21,2,0),"cat")</f>
        <v>JUE</v>
      </c>
    </row>
    <row r="113" spans="2:11" x14ac:dyDescent="0.25">
      <c r="B113" t="str">
        <f>+Tabla1[[#This Row],[dimension_id]]&amp;"_"&amp;Tabla1[[#This Row],[subdimension_id]]&amp;"_"&amp;Tabla1[[#This Row],[categoria_id]]</f>
        <v>AC_AT_JUE</v>
      </c>
      <c r="C113" s="4" t="s">
        <v>39</v>
      </c>
      <c r="D113" t="s">
        <v>40</v>
      </c>
      <c r="E113" t="s">
        <v>157</v>
      </c>
      <c r="F113" t="s">
        <v>234</v>
      </c>
      <c r="G113" t="s">
        <v>235</v>
      </c>
      <c r="H113"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Compruebe que el juego es fácil de aprender, pero difícil de dominar.</v>
      </c>
      <c r="I113" t="str">
        <f>IFERROR(VLOOKUP(Tabla1[[#This Row],[dimension]],Datos!$B$2:$C$6,2,0),"dim")</f>
        <v>AC</v>
      </c>
      <c r="J113" t="str">
        <f>IFERROR(VLOOKUP(Tabla1[[#This Row],[subdimension]],Datos!$E$2:$F$20,2,0),"subdim")</f>
        <v>AT</v>
      </c>
      <c r="K113" t="str">
        <f>IFERROR(VLOOKUP(Tabla1[[#This Row],[categoria]],Datos!$H$2:$I$21,2,0),"cat")</f>
        <v>JUE</v>
      </c>
    </row>
    <row r="114" spans="2:11" x14ac:dyDescent="0.25">
      <c r="B114" t="str">
        <f>+Tabla1[[#This Row],[dimension_id]]&amp;"_"&amp;Tabla1[[#This Row],[subdimension_id]]&amp;"_"&amp;Tabla1[[#This Row],[categoria_id]]</f>
        <v>AC_AT_JUE</v>
      </c>
      <c r="C114" s="4" t="s">
        <v>39</v>
      </c>
      <c r="D114" t="s">
        <v>40</v>
      </c>
      <c r="E114" t="s">
        <v>157</v>
      </c>
      <c r="F114" t="s">
        <v>236</v>
      </c>
      <c r="G114" t="s">
        <v>237</v>
      </c>
      <c r="H114"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Asegúrese de que el juego no suponga una carga innecesaria para el jugador.</v>
      </c>
      <c r="I114" t="str">
        <f>IFERROR(VLOOKUP(Tabla1[[#This Row],[dimension]],Datos!$B$2:$C$6,2,0),"dim")</f>
        <v>AC</v>
      </c>
      <c r="J114" t="str">
        <f>IFERROR(VLOOKUP(Tabla1[[#This Row],[subdimension]],Datos!$E$2:$F$20,2,0),"subdim")</f>
        <v>AT</v>
      </c>
      <c r="K114" t="str">
        <f>IFERROR(VLOOKUP(Tabla1[[#This Row],[categoria]],Datos!$H$2:$I$21,2,0),"cat")</f>
        <v>JUE</v>
      </c>
    </row>
    <row r="115" spans="2:11" x14ac:dyDescent="0.25">
      <c r="B115" t="str">
        <f>+Tabla1[[#This Row],[dimension_id]]&amp;"_"&amp;Tabla1[[#This Row],[subdimension_id]]&amp;"_"&amp;Tabla1[[#This Row],[categoria_id]]</f>
        <v>AC_AT_JUE</v>
      </c>
      <c r="C115" s="4" t="s">
        <v>39</v>
      </c>
      <c r="D115" t="s">
        <v>40</v>
      </c>
      <c r="E115" t="s">
        <v>157</v>
      </c>
      <c r="F115" t="s">
        <v>238</v>
      </c>
      <c r="G115" t="s">
        <v>239</v>
      </c>
      <c r="H115"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Asegúrese de que los jugadores sienten que sus acciones son significativas. Las acciones deben tener un efecto directo y una respuesta inmediata para que los jugadores tengan una sensación de control e influencia en el mundo del juego.</v>
      </c>
      <c r="I115" t="str">
        <f>IFERROR(VLOOKUP(Tabla1[[#This Row],[dimension]],Datos!$B$2:$C$6,2,0),"dim")</f>
        <v>AC</v>
      </c>
      <c r="J115" t="str">
        <f>IFERROR(VLOOKUP(Tabla1[[#This Row],[subdimension]],Datos!$E$2:$F$20,2,0),"subdim")</f>
        <v>AT</v>
      </c>
      <c r="K115" t="str">
        <f>IFERROR(VLOOKUP(Tabla1[[#This Row],[categoria]],Datos!$H$2:$I$21,2,0),"cat")</f>
        <v>JUE</v>
      </c>
    </row>
    <row r="116" spans="2:11" x14ac:dyDescent="0.25">
      <c r="B116" t="str">
        <f>+Tabla1[[#This Row],[dimension_id]]&amp;"_"&amp;Tabla1[[#This Row],[subdimension_id]]&amp;"_"&amp;Tabla1[[#This Row],[categoria_id]]</f>
        <v>AC_AT_JUE</v>
      </c>
      <c r="C116" s="4" t="s">
        <v>39</v>
      </c>
      <c r="D116" t="s">
        <v>40</v>
      </c>
      <c r="E116" t="s">
        <v>157</v>
      </c>
      <c r="F116" t="s">
        <v>240</v>
      </c>
      <c r="G116" t="s">
        <v>241</v>
      </c>
      <c r="H116"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Compruebe que los controles del juego son coherentes, intuitivos y están asignados de forma natural (es decir, se controlan con las teclas más convencionales del juego).</v>
      </c>
      <c r="I116" t="str">
        <f>IFERROR(VLOOKUP(Tabla1[[#This Row],[dimension]],Datos!$B$2:$C$6,2,0),"dim")</f>
        <v>AC</v>
      </c>
      <c r="J116" t="str">
        <f>IFERROR(VLOOKUP(Tabla1[[#This Row],[subdimension]],Datos!$E$2:$F$20,2,0),"subdim")</f>
        <v>AT</v>
      </c>
      <c r="K116" t="str">
        <f>IFERROR(VLOOKUP(Tabla1[[#This Row],[categoria]],Datos!$H$2:$I$21,2,0),"cat")</f>
        <v>JUE</v>
      </c>
    </row>
    <row r="117" spans="2:11" x14ac:dyDescent="0.25">
      <c r="B117" t="str">
        <f>+Tabla1[[#This Row],[dimension_id]]&amp;"_"&amp;Tabla1[[#This Row],[subdimension_id]]&amp;"_"&amp;Tabla1[[#This Row],[categoria_id]]</f>
        <v>AC_AT_JUE</v>
      </c>
      <c r="C117" s="4" t="s">
        <v>39</v>
      </c>
      <c r="D117" t="s">
        <v>40</v>
      </c>
      <c r="E117" t="s">
        <v>157</v>
      </c>
      <c r="F117" t="s">
        <v>242</v>
      </c>
      <c r="G117" t="s">
        <v>243</v>
      </c>
      <c r="H117"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Ofrezca un tutorial para introducir todos los controles generales necesarios para progresar en el juego mediante una serie de pequeñas tareas.</v>
      </c>
      <c r="I117" t="str">
        <f>IFERROR(VLOOKUP(Tabla1[[#This Row],[dimension]],Datos!$B$2:$C$6,2,0),"dim")</f>
        <v>AC</v>
      </c>
      <c r="J117" t="str">
        <f>IFERROR(VLOOKUP(Tabla1[[#This Row],[subdimension]],Datos!$E$2:$F$20,2,0),"subdim")</f>
        <v>AT</v>
      </c>
      <c r="K117" t="str">
        <f>IFERROR(VLOOKUP(Tabla1[[#This Row],[categoria]],Datos!$H$2:$I$21,2,0),"cat")</f>
        <v>JUE</v>
      </c>
    </row>
    <row r="118" spans="2:11" x14ac:dyDescent="0.25">
      <c r="B118" t="str">
        <f>+Tabla1[[#This Row],[dimension_id]]&amp;"_"&amp;Tabla1[[#This Row],[subdimension_id]]&amp;"_"&amp;Tabla1[[#This Row],[categoria_id]]</f>
        <v>AC_AT_JUE</v>
      </c>
      <c r="C118" s="4" t="s">
        <v>39</v>
      </c>
      <c r="D118" t="s">
        <v>40</v>
      </c>
      <c r="E118" t="s">
        <v>157</v>
      </c>
      <c r="F118" t="s">
        <v>244</v>
      </c>
      <c r="G118" t="s">
        <v>245</v>
      </c>
      <c r="H118"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Compruebe que los retos del juego están en orden para que los jugadores apliquen los conocimientos adquiridos en problemas anteriores para resolver los siguientes.</v>
      </c>
      <c r="I118" t="str">
        <f>IFERROR(VLOOKUP(Tabla1[[#This Row],[dimension]],Datos!$B$2:$C$6,2,0),"dim")</f>
        <v>AC</v>
      </c>
      <c r="J118" t="str">
        <f>IFERROR(VLOOKUP(Tabla1[[#This Row],[subdimension]],Datos!$E$2:$F$20,2,0),"subdim")</f>
        <v>AT</v>
      </c>
      <c r="K118" t="str">
        <f>IFERROR(VLOOKUP(Tabla1[[#This Row],[categoria]],Datos!$H$2:$I$21,2,0),"cat")</f>
        <v>JUE</v>
      </c>
    </row>
    <row r="119" spans="2:11" x14ac:dyDescent="0.25">
      <c r="B119" t="str">
        <f>+Tabla1[[#This Row],[dimension_id]]&amp;"_"&amp;Tabla1[[#This Row],[subdimension_id]]&amp;"_"&amp;Tabla1[[#This Row],[categoria_id]]</f>
        <v>AC_AT_JUE</v>
      </c>
      <c r="C119" s="4" t="s">
        <v>39</v>
      </c>
      <c r="D119" t="s">
        <v>40</v>
      </c>
      <c r="E119" t="s">
        <v>157</v>
      </c>
      <c r="F119" t="s">
        <v>246</v>
      </c>
      <c r="G119" t="s">
        <v>247</v>
      </c>
      <c r="H119"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Proporcione información como descripciones de situaciones o pistas «a la carta» y «justo a tiempo».</v>
      </c>
      <c r="I119" t="str">
        <f>IFERROR(VLOOKUP(Tabla1[[#This Row],[dimension]],Datos!$B$2:$C$6,2,0),"dim")</f>
        <v>AC</v>
      </c>
      <c r="J119" t="str">
        <f>IFERROR(VLOOKUP(Tabla1[[#This Row],[subdimension]],Datos!$E$2:$F$20,2,0),"subdim")</f>
        <v>AT</v>
      </c>
      <c r="K119" t="str">
        <f>IFERROR(VLOOKUP(Tabla1[[#This Row],[categoria]],Datos!$H$2:$I$21,2,0),"cat")</f>
        <v>JUE</v>
      </c>
    </row>
    <row r="120" spans="2:11" x14ac:dyDescent="0.25">
      <c r="B120" t="str">
        <f>+Tabla1[[#This Row],[dimension_id]]&amp;"_"&amp;Tabla1[[#This Row],[subdimension_id]]&amp;"_"&amp;Tabla1[[#This Row],[categoria_id]]</f>
        <v>AC_AT_JUE</v>
      </c>
      <c r="C120" s="4" t="s">
        <v>39</v>
      </c>
      <c r="D120" t="s">
        <v>40</v>
      </c>
      <c r="E120" t="s">
        <v>157</v>
      </c>
      <c r="F120" t="s">
        <v>248</v>
      </c>
      <c r="G120" t="s">
        <v>249</v>
      </c>
      <c r="H120"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Asegúrese de que el objetivo u objetivos del juego puedan ser entendidos por todos los estudiantes, con y sin discapacidad.</v>
      </c>
      <c r="I120" t="str">
        <f>IFERROR(VLOOKUP(Tabla1[[#This Row],[dimension]],Datos!$B$2:$C$6,2,0),"dim")</f>
        <v>AC</v>
      </c>
      <c r="J120" t="str">
        <f>IFERROR(VLOOKUP(Tabla1[[#This Row],[subdimension]],Datos!$E$2:$F$20,2,0),"subdim")</f>
        <v>AT</v>
      </c>
      <c r="K120" t="str">
        <f>IFERROR(VLOOKUP(Tabla1[[#This Row],[categoria]],Datos!$H$2:$I$21,2,0),"cat")</f>
        <v>JUE</v>
      </c>
    </row>
    <row r="121" spans="2:11" x14ac:dyDescent="0.25">
      <c r="B121" t="str">
        <f>+Tabla1[[#This Row],[dimension_id]]&amp;"_"&amp;Tabla1[[#This Row],[subdimension_id]]&amp;"_"&amp;Tabla1[[#This Row],[categoria_id]]</f>
        <v>AC_AT_JUE</v>
      </c>
      <c r="C121" s="4" t="s">
        <v>39</v>
      </c>
      <c r="D121" t="s">
        <v>40</v>
      </c>
      <c r="E121" t="s">
        <v>157</v>
      </c>
      <c r="F121" t="s">
        <v>250</v>
      </c>
      <c r="G121" t="s">
        <v>251</v>
      </c>
      <c r="H121"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En el caso de jugadores con dificultades visuales, utilice sonido estéreo, binaural o envolvente para la localización de los objetos del juego. Seleccione sonidos y música distintivos para todos los objetos y eventos interactivos.</v>
      </c>
      <c r="I121" t="str">
        <f>IFERROR(VLOOKUP(Tabla1[[#This Row],[dimension]],Datos!$B$2:$C$6,2,0),"dim")</f>
        <v>AC</v>
      </c>
      <c r="J121" t="str">
        <f>IFERROR(VLOOKUP(Tabla1[[#This Row],[subdimension]],Datos!$E$2:$F$20,2,0),"subdim")</f>
        <v>AT</v>
      </c>
      <c r="K121" t="str">
        <f>IFERROR(VLOOKUP(Tabla1[[#This Row],[categoria]],Datos!$H$2:$I$21,2,0),"cat")</f>
        <v>JUE</v>
      </c>
    </row>
    <row r="122" spans="2:11" x14ac:dyDescent="0.25">
      <c r="B122" t="str">
        <f>+Tabla1[[#This Row],[dimension_id]]&amp;"_"&amp;Tabla1[[#This Row],[subdimension_id]]&amp;"_"&amp;Tabla1[[#This Row],[categoria_id]]</f>
        <v>AC_AT_JUE</v>
      </c>
      <c r="C122" s="4" t="s">
        <v>39</v>
      </c>
      <c r="D122" t="s">
        <v>40</v>
      </c>
      <c r="E122" t="s">
        <v>157</v>
      </c>
      <c r="F122" t="s">
        <v>252</v>
      </c>
      <c r="G122" t="s">
        <v>253</v>
      </c>
      <c r="H122" t="str">
        <f>+"Dimensión: " &amp; Tabla1[[#This Row],[dimension]] &amp; " -- " &amp; "Subdimensión: " &amp; Tabla1[[#This Row],[subdimension]] &amp; " -- " &amp; "Categoría: " &amp; Tabla1[[#This Row],[categoria]] &amp; " -- " &amp; Tabla1[[#This Row],[recomendacion]]</f>
        <v>Dimensión: Accesibilidad -- Subdimensión: Accesibilidad tecnológica -- Categoría: Juegos educativos -- Asegúrese de que la historia del juego fomenta la inmersión y la identidad si el juego tiene un componente de historia.</v>
      </c>
      <c r="I122" t="str">
        <f>IFERROR(VLOOKUP(Tabla1[[#This Row],[dimension]],Datos!$B$2:$C$6,2,0),"dim")</f>
        <v>AC</v>
      </c>
      <c r="J122" t="str">
        <f>IFERROR(VLOOKUP(Tabla1[[#This Row],[subdimension]],Datos!$E$2:$F$20,2,0),"subdim")</f>
        <v>AT</v>
      </c>
      <c r="K122" t="str">
        <f>IFERROR(VLOOKUP(Tabla1[[#This Row],[categoria]],Datos!$H$2:$I$21,2,0),"cat")</f>
        <v>JUE</v>
      </c>
    </row>
    <row r="123" spans="2:11" x14ac:dyDescent="0.25">
      <c r="B123" s="5" t="str">
        <f>+Tabla1[[#This Row],[dimension_id]]&amp;"_"&amp;Tabla1[[#This Row],[subdimension_id]]&amp;"_"&amp;Tabla1[[#This Row],[categoria_id]]</f>
        <v>AC_subdim_cat</v>
      </c>
      <c r="C123" s="4" t="s">
        <v>39</v>
      </c>
      <c r="D123" t="s">
        <v>297</v>
      </c>
      <c r="E123" t="s">
        <v>298</v>
      </c>
      <c r="H123" s="5" t="str">
        <f>+"Dimensión: " &amp; Tabla1[[#This Row],[dimension]] &amp; " -- " &amp; "Subdimensión: " &amp; Tabla1[[#This Row],[subdimension]] &amp; " -- " &amp; "Categoría: " &amp; Tabla1[[#This Row],[categoria]] &amp; " -- " &amp; Tabla1[[#This Row],[recomendacion]]</f>
        <v xml:space="preserve">Dimensión: Accesibilidad -- Subdimensión: Accesibilidad cognitiva -- Categoría: Lectura fácil -- </v>
      </c>
      <c r="I123" s="5" t="str">
        <f>IFERROR(VLOOKUP(Tabla1[[#This Row],[dimension]],Datos!$B$2:$C$6,2,0),"dim")</f>
        <v>AC</v>
      </c>
      <c r="J123" s="5" t="str">
        <f>IFERROR(VLOOKUP(Tabla1[[#This Row],[subdimension]],Datos!$E$2:$F$20,2,0),"subdim")</f>
        <v>subdim</v>
      </c>
      <c r="K123" s="5" t="str">
        <f>IFERROR(VLOOKUP(Tabla1[[#This Row],[categoria]],Datos!$H$2:$I$21,2,0),"cat")</f>
        <v>cat</v>
      </c>
    </row>
  </sheetData>
  <conditionalFormatting sqref="D3:H123">
    <cfRule type="expression" dxfId="4" priority="5">
      <formula>D3&lt;&gt;""</formula>
    </cfRule>
  </conditionalFormatting>
  <conditionalFormatting sqref="F39:F43">
    <cfRule type="expression" dxfId="3" priority="3">
      <formula>F39&lt;&gt;""</formula>
    </cfRule>
  </conditionalFormatting>
  <conditionalFormatting sqref="F44:G44">
    <cfRule type="expression" dxfId="2" priority="2">
      <formula>F44&lt;&gt;""</formula>
    </cfRule>
  </conditionalFormatting>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A09-DE84-49B0-BA07-F07C01A6F75F}">
  <dimension ref="B2:I21"/>
  <sheetViews>
    <sheetView workbookViewId="0">
      <selection activeCell="D28" sqref="D28"/>
    </sheetView>
  </sheetViews>
  <sheetFormatPr baseColWidth="10" defaultRowHeight="15" x14ac:dyDescent="0.25"/>
  <cols>
    <col min="2" max="2" width="17" customWidth="1"/>
    <col min="5" max="5" width="17" customWidth="1"/>
    <col min="8" max="8" width="17" customWidth="1"/>
  </cols>
  <sheetData>
    <row r="2" spans="2:9" x14ac:dyDescent="0.25">
      <c r="B2" t="s">
        <v>1</v>
      </c>
      <c r="C2" t="s">
        <v>0</v>
      </c>
      <c r="E2" t="s">
        <v>2</v>
      </c>
      <c r="F2" t="s">
        <v>0</v>
      </c>
      <c r="H2" t="s">
        <v>3</v>
      </c>
      <c r="I2" t="s">
        <v>0</v>
      </c>
    </row>
    <row r="3" spans="2:9" x14ac:dyDescent="0.25">
      <c r="B3" s="1" t="s">
        <v>7</v>
      </c>
      <c r="C3" t="s">
        <v>254</v>
      </c>
      <c r="E3" t="s">
        <v>8</v>
      </c>
      <c r="F3" t="s">
        <v>258</v>
      </c>
      <c r="H3" t="s">
        <v>20</v>
      </c>
      <c r="I3" t="s">
        <v>275</v>
      </c>
    </row>
    <row r="4" spans="2:9" x14ac:dyDescent="0.25">
      <c r="B4" s="2" t="s">
        <v>19</v>
      </c>
      <c r="C4" t="s">
        <v>256</v>
      </c>
      <c r="E4" t="s">
        <v>41</v>
      </c>
      <c r="F4" t="s">
        <v>259</v>
      </c>
      <c r="H4" t="s">
        <v>21</v>
      </c>
      <c r="I4" t="s">
        <v>276</v>
      </c>
    </row>
    <row r="5" spans="2:9" x14ac:dyDescent="0.25">
      <c r="B5" s="3" t="s">
        <v>35</v>
      </c>
      <c r="C5" t="s">
        <v>257</v>
      </c>
      <c r="E5" t="s">
        <v>10</v>
      </c>
      <c r="F5" t="s">
        <v>260</v>
      </c>
      <c r="H5" t="s">
        <v>22</v>
      </c>
      <c r="I5" t="s">
        <v>277</v>
      </c>
    </row>
    <row r="6" spans="2:9" x14ac:dyDescent="0.25">
      <c r="B6" s="4" t="s">
        <v>39</v>
      </c>
      <c r="C6" t="s">
        <v>255</v>
      </c>
      <c r="E6" t="s">
        <v>11</v>
      </c>
      <c r="F6" t="s">
        <v>296</v>
      </c>
      <c r="H6" t="s">
        <v>23</v>
      </c>
      <c r="I6" t="s">
        <v>278</v>
      </c>
    </row>
    <row r="7" spans="2:9" x14ac:dyDescent="0.25">
      <c r="E7" t="s">
        <v>12</v>
      </c>
      <c r="F7" t="s">
        <v>274</v>
      </c>
      <c r="H7" t="s">
        <v>27</v>
      </c>
      <c r="I7" t="s">
        <v>279</v>
      </c>
    </row>
    <row r="8" spans="2:9" x14ac:dyDescent="0.25">
      <c r="E8" t="s">
        <v>13</v>
      </c>
      <c r="F8" t="s">
        <v>262</v>
      </c>
      <c r="H8" t="s">
        <v>28</v>
      </c>
      <c r="I8" t="s">
        <v>280</v>
      </c>
    </row>
    <row r="9" spans="2:9" x14ac:dyDescent="0.25">
      <c r="E9" t="s">
        <v>14</v>
      </c>
      <c r="F9" t="s">
        <v>263</v>
      </c>
      <c r="H9" t="s">
        <v>29</v>
      </c>
      <c r="I9" t="s">
        <v>281</v>
      </c>
    </row>
    <row r="10" spans="2:9" x14ac:dyDescent="0.25">
      <c r="E10" t="s">
        <v>15</v>
      </c>
      <c r="F10" t="s">
        <v>264</v>
      </c>
      <c r="H10" t="s">
        <v>30</v>
      </c>
      <c r="I10" t="s">
        <v>279</v>
      </c>
    </row>
    <row r="11" spans="2:9" x14ac:dyDescent="0.25">
      <c r="E11" t="s">
        <v>16</v>
      </c>
      <c r="F11" t="s">
        <v>265</v>
      </c>
      <c r="H11" t="s">
        <v>32</v>
      </c>
      <c r="I11" t="s">
        <v>282</v>
      </c>
    </row>
    <row r="12" spans="2:9" x14ac:dyDescent="0.25">
      <c r="E12" t="s">
        <v>17</v>
      </c>
      <c r="F12" t="s">
        <v>266</v>
      </c>
      <c r="H12" t="s">
        <v>31</v>
      </c>
      <c r="I12" t="s">
        <v>283</v>
      </c>
    </row>
    <row r="13" spans="2:9" x14ac:dyDescent="0.25">
      <c r="E13" t="s">
        <v>18</v>
      </c>
      <c r="F13" t="s">
        <v>267</v>
      </c>
      <c r="H13" t="s">
        <v>33</v>
      </c>
      <c r="I13" t="s">
        <v>284</v>
      </c>
    </row>
    <row r="14" spans="2:9" x14ac:dyDescent="0.25">
      <c r="E14" t="s">
        <v>9</v>
      </c>
      <c r="F14" t="s">
        <v>268</v>
      </c>
      <c r="H14" t="s">
        <v>26</v>
      </c>
      <c r="I14" t="s">
        <v>285</v>
      </c>
    </row>
    <row r="15" spans="2:9" x14ac:dyDescent="0.25">
      <c r="E15" t="s">
        <v>24</v>
      </c>
      <c r="F15" t="s">
        <v>269</v>
      </c>
      <c r="H15" t="s">
        <v>34</v>
      </c>
      <c r="I15" t="s">
        <v>286</v>
      </c>
    </row>
    <row r="16" spans="2:9" x14ac:dyDescent="0.25">
      <c r="E16" t="s">
        <v>25</v>
      </c>
      <c r="F16" t="s">
        <v>270</v>
      </c>
      <c r="H16" t="s">
        <v>152</v>
      </c>
      <c r="I16" t="s">
        <v>287</v>
      </c>
    </row>
    <row r="17" spans="5:9" x14ac:dyDescent="0.25">
      <c r="E17" t="s">
        <v>36</v>
      </c>
      <c r="F17" t="s">
        <v>271</v>
      </c>
      <c r="H17" t="s">
        <v>153</v>
      </c>
      <c r="I17" t="s">
        <v>290</v>
      </c>
    </row>
    <row r="18" spans="5:9" x14ac:dyDescent="0.25">
      <c r="E18" t="s">
        <v>37</v>
      </c>
      <c r="F18" t="s">
        <v>272</v>
      </c>
      <c r="H18" t="s">
        <v>154</v>
      </c>
      <c r="I18" t="s">
        <v>288</v>
      </c>
    </row>
    <row r="19" spans="5:9" x14ac:dyDescent="0.25">
      <c r="E19" t="s">
        <v>38</v>
      </c>
      <c r="F19" t="s">
        <v>273</v>
      </c>
      <c r="H19" t="s">
        <v>155</v>
      </c>
      <c r="I19" t="s">
        <v>291</v>
      </c>
    </row>
    <row r="20" spans="5:9" x14ac:dyDescent="0.25">
      <c r="E20" t="s">
        <v>40</v>
      </c>
      <c r="F20" t="s">
        <v>261</v>
      </c>
      <c r="H20" t="s">
        <v>156</v>
      </c>
      <c r="I20" t="s">
        <v>292</v>
      </c>
    </row>
    <row r="21" spans="5:9" x14ac:dyDescent="0.25">
      <c r="H21" t="s">
        <v>157</v>
      </c>
      <c r="I21" t="s">
        <v>289</v>
      </c>
    </row>
  </sheetData>
  <conditionalFormatting sqref="I3:I8 E3:F20 H3:H21">
    <cfRule type="expression" dxfId="1" priority="2">
      <formula>E3&lt;&gt;""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Estructura</vt: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IGNACIO LELCHUK ROJAS</dc:creator>
  <cp:lastModifiedBy>DANIEL IGNACIO LELCHUK ROJAS</cp:lastModifiedBy>
  <dcterms:created xsi:type="dcterms:W3CDTF">2026-06-18T15:45:18Z</dcterms:created>
  <dcterms:modified xsi:type="dcterms:W3CDTF">2026-07-02T16:08:51Z</dcterms:modified>
</cp:coreProperties>
</file>